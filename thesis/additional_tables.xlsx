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00_PhD\01_poglavja\"/>
    </mc:Choice>
  </mc:AlternateContent>
  <xr:revisionPtr revIDLastSave="0" documentId="13_ncr:1_{93046A82-2CE4-4CA7-9858-F7F8EBBB038F}" xr6:coauthVersionLast="47" xr6:coauthVersionMax="47" xr10:uidLastSave="{00000000-0000-0000-0000-000000000000}"/>
  <bookViews>
    <workbookView xWindow="-120" yWindow="-120" windowWidth="38640" windowHeight="21120" xr2:uid="{DB19BBB1-5072-4616-B9F3-8CA8F5F54A58}"/>
  </bookViews>
  <sheets>
    <sheet name="additional_table1" sheetId="3" r:id="rId1"/>
    <sheet name="genes_sporul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<sst xmlns="http://schemas.openxmlformats.org/spreadsheetml/2006/main" count="449" uniqueCount="282">
  <si>
    <t>abrB</t>
  </si>
  <si>
    <t>asrC</t>
  </si>
  <si>
    <t>bltD</t>
  </si>
  <si>
    <t>cotCB</t>
  </si>
  <si>
    <t>dacF</t>
  </si>
  <si>
    <t>dapG</t>
  </si>
  <si>
    <t>dnaA</t>
  </si>
  <si>
    <t>ftsQ</t>
  </si>
  <si>
    <t>gpr</t>
  </si>
  <si>
    <t>pdp</t>
  </si>
  <si>
    <t>sepF</t>
  </si>
  <si>
    <t>sigE</t>
  </si>
  <si>
    <t>sigF</t>
  </si>
  <si>
    <t>sigG</t>
  </si>
  <si>
    <t>sigH</t>
  </si>
  <si>
    <t>sigK</t>
  </si>
  <si>
    <t>spmA</t>
  </si>
  <si>
    <t>spmB</t>
  </si>
  <si>
    <t>spo0A</t>
  </si>
  <si>
    <t>spoIIGA</t>
  </si>
  <si>
    <t>spoIIIAA</t>
  </si>
  <si>
    <t>spoIIIAB</t>
  </si>
  <si>
    <t>spoIIIAC</t>
  </si>
  <si>
    <t>spoIIIAD</t>
  </si>
  <si>
    <t>spoIIIAE</t>
  </si>
  <si>
    <t>spoIIIAG</t>
  </si>
  <si>
    <t>spoIIIAH</t>
  </si>
  <si>
    <t>spoIIP</t>
  </si>
  <si>
    <t>spoIIR</t>
  </si>
  <si>
    <t>spoIVA</t>
  </si>
  <si>
    <t>spoIVB</t>
  </si>
  <si>
    <t>spoIVFB</t>
  </si>
  <si>
    <t>spoVAD</t>
  </si>
  <si>
    <t>spoVE</t>
  </si>
  <si>
    <t>spoVT</t>
  </si>
  <si>
    <t>trxB</t>
  </si>
  <si>
    <t>walR</t>
  </si>
  <si>
    <t>yabG</t>
  </si>
  <si>
    <t>ykvI</t>
  </si>
  <si>
    <t>ylxY</t>
  </si>
  <si>
    <t>ytxC</t>
  </si>
  <si>
    <t>yyaC</t>
  </si>
  <si>
    <t>zupT</t>
  </si>
  <si>
    <t>locus_tag</t>
  </si>
  <si>
    <t>organism</t>
  </si>
  <si>
    <t>gene_id</t>
  </si>
  <si>
    <t>gene_name</t>
  </si>
  <si>
    <t>description</t>
  </si>
  <si>
    <t>location</t>
  </si>
  <si>
    <t>CD630_RS16605</t>
  </si>
  <si>
    <t>Clostridioides difficile 630</t>
  </si>
  <si>
    <t>helix-turn-helix</t>
  </si>
  <si>
    <t>transcriptional</t>
  </si>
  <si>
    <t>CD630_RS12080</t>
  </si>
  <si>
    <t>sulfite</t>
  </si>
  <si>
    <t>reductase</t>
  </si>
  <si>
    <t>CD630_RS06745</t>
  </si>
  <si>
    <t>GNAT</t>
  </si>
  <si>
    <t>family</t>
  </si>
  <si>
    <t>CD630_RS00540</t>
  </si>
  <si>
    <t>rlmB</t>
  </si>
  <si>
    <t>23S</t>
  </si>
  <si>
    <t>rRNA</t>
  </si>
  <si>
    <t>CD630_RS04990</t>
  </si>
  <si>
    <t>SPFH/Band</t>
  </si>
  <si>
    <t>7/PHB</t>
  </si>
  <si>
    <t>sporulation</t>
  </si>
  <si>
    <t>integral</t>
  </si>
  <si>
    <t>CD630_RS08555</t>
  </si>
  <si>
    <t>manganese</t>
  </si>
  <si>
    <t>catalase</t>
  </si>
  <si>
    <t>CD630_RS11130</t>
  </si>
  <si>
    <t>MurR/RpiR</t>
  </si>
  <si>
    <t>CD630_RS11435</t>
  </si>
  <si>
    <t>MATE</t>
  </si>
  <si>
    <t>CD630_RS13885</t>
  </si>
  <si>
    <t>YicC</t>
  </si>
  <si>
    <t>CD630_RS18585</t>
  </si>
  <si>
    <t>hypothetical</t>
  </si>
  <si>
    <t>protein</t>
  </si>
  <si>
    <t>CD630_RS03565</t>
  </si>
  <si>
    <t>CD630_RS13415</t>
  </si>
  <si>
    <t>D-alanyl-D-alanine</t>
  </si>
  <si>
    <t>carboxypeptidase</t>
  </si>
  <si>
    <t>CD630_RS07160</t>
  </si>
  <si>
    <t>CD630_RS07320</t>
  </si>
  <si>
    <t>aspartate</t>
  </si>
  <si>
    <t>kinase</t>
  </si>
  <si>
    <t>CD630_RS00005</t>
  </si>
  <si>
    <t>chromosomal</t>
  </si>
  <si>
    <t>replication</t>
  </si>
  <si>
    <t>CD630_RS15860</t>
  </si>
  <si>
    <t>dpsA</t>
  </si>
  <si>
    <t>dipicolinate</t>
  </si>
  <si>
    <t>synthase</t>
  </si>
  <si>
    <t>CD630_RS14185</t>
  </si>
  <si>
    <t>FtsQ-type</t>
  </si>
  <si>
    <t>POTRA</t>
  </si>
  <si>
    <t>CD630_RS13275</t>
  </si>
  <si>
    <t>GPR</t>
  </si>
  <si>
    <t>endopeptidase</t>
  </si>
  <si>
    <t>CD630_RS00385</t>
  </si>
  <si>
    <t>DNA</t>
  </si>
  <si>
    <t>methylase</t>
  </si>
  <si>
    <t>CD630_RS19535</t>
  </si>
  <si>
    <t>noc</t>
  </si>
  <si>
    <t>nucleoid</t>
  </si>
  <si>
    <t>occlusion</t>
  </si>
  <si>
    <t>CD630_RS06810</t>
  </si>
  <si>
    <t>pyrimidine-nucleoside</t>
  </si>
  <si>
    <t>phosphorylase</t>
  </si>
  <si>
    <t>CSBG_02367</t>
  </si>
  <si>
    <t xml:space="preserve">Clostridium sp. </t>
  </si>
  <si>
    <t>NA</t>
  </si>
  <si>
    <t>CD630_RS07380</t>
  </si>
  <si>
    <t>adenylosuccinate</t>
  </si>
  <si>
    <t>lyase</t>
  </si>
  <si>
    <t>CD630_RS00585</t>
  </si>
  <si>
    <t>50S</t>
  </si>
  <si>
    <t>ribosomal</t>
  </si>
  <si>
    <t>CD630_RS14045</t>
  </si>
  <si>
    <t>cell</t>
  </si>
  <si>
    <t>division</t>
  </si>
  <si>
    <t>CD630_RS14150</t>
  </si>
  <si>
    <t>RNA</t>
  </si>
  <si>
    <t>polymerase</t>
  </si>
  <si>
    <t>CD630_RS04450</t>
  </si>
  <si>
    <t>CD630_RS14145</t>
  </si>
  <si>
    <t>CD630_RS00550</t>
  </si>
  <si>
    <t>CD630_12300</t>
  </si>
  <si>
    <t>CD630_RS18975</t>
  </si>
  <si>
    <t>DUF3794</t>
  </si>
  <si>
    <t>domain-containing</t>
  </si>
  <si>
    <t>CD630_RS08895</t>
  </si>
  <si>
    <t>superoxide</t>
  </si>
  <si>
    <t>dismutase</t>
  </si>
  <si>
    <t>CD630_RS18825</t>
  </si>
  <si>
    <t>spore</t>
  </si>
  <si>
    <t>maturation</t>
  </si>
  <si>
    <t>CD630_RS18820</t>
  </si>
  <si>
    <t>CD630_RS06755</t>
  </si>
  <si>
    <t>transcription</t>
  </si>
  <si>
    <t>CD630_RS14155</t>
  </si>
  <si>
    <t>sigma-E</t>
  </si>
  <si>
    <t>processing</t>
  </si>
  <si>
    <t>CD630_RS06645</t>
  </si>
  <si>
    <t>stage</t>
  </si>
  <si>
    <t>III</t>
  </si>
  <si>
    <t>CD630_RS06650</t>
  </si>
  <si>
    <t>CD630_RS06655</t>
  </si>
  <si>
    <t>CD630_RS06660</t>
  </si>
  <si>
    <t>CD630_RS06665</t>
  </si>
  <si>
    <t>CD630_RS06675</t>
  </si>
  <si>
    <t>CD630_RS06680</t>
  </si>
  <si>
    <t>SpoIIIAH-like</t>
  </si>
  <si>
    <t>CD630_RS13270</t>
  </si>
  <si>
    <t>II</t>
  </si>
  <si>
    <t>CD630_RS18960</t>
  </si>
  <si>
    <t>CD630_RS14080</t>
  </si>
  <si>
    <t>IV</t>
  </si>
  <si>
    <t>CD630_RS06750</t>
  </si>
  <si>
    <t>peptidase</t>
  </si>
  <si>
    <t>S55</t>
  </si>
  <si>
    <t>BSU_27970</t>
  </si>
  <si>
    <t>Bacillus subtilis subsp. subtilis str. 168</t>
  </si>
  <si>
    <t>membrane</t>
  </si>
  <si>
    <t>metalloprotease</t>
  </si>
  <si>
    <t>CD630_RS04460</t>
  </si>
  <si>
    <t>V</t>
  </si>
  <si>
    <t>CD630_RS14195</t>
  </si>
  <si>
    <t>CD630_RS18610</t>
  </si>
  <si>
    <t>CD630_RS07325</t>
  </si>
  <si>
    <t>Clp</t>
  </si>
  <si>
    <t>protease</t>
  </si>
  <si>
    <t>CD630_RS09210</t>
  </si>
  <si>
    <t>thioredoxin-disulfide</t>
  </si>
  <si>
    <t>BSU_40410</t>
  </si>
  <si>
    <t>Bacillus subtilis 168</t>
  </si>
  <si>
    <t>two-component</t>
  </si>
  <si>
    <t>response</t>
  </si>
  <si>
    <t>CD630_RS18985</t>
  </si>
  <si>
    <t>CD630_RS13130</t>
  </si>
  <si>
    <t>BSU_01690</t>
  </si>
  <si>
    <t>murR</t>
  </si>
  <si>
    <t>regulator</t>
  </si>
  <si>
    <t>BSU_13710</t>
  </si>
  <si>
    <t>putative</t>
  </si>
  <si>
    <t>transporter</t>
  </si>
  <si>
    <t>BSU_15030</t>
  </si>
  <si>
    <t>spoVV</t>
  </si>
  <si>
    <t>dipicolinic</t>
  </si>
  <si>
    <t>acid</t>
  </si>
  <si>
    <t>BSU_16700</t>
  </si>
  <si>
    <t>sugar</t>
  </si>
  <si>
    <t>CD630_RS12285</t>
  </si>
  <si>
    <t>CD630_RS03425</t>
  </si>
  <si>
    <t>CD630_RS01160</t>
  </si>
  <si>
    <t>CD630_RS06075</t>
  </si>
  <si>
    <t>zinc</t>
  </si>
  <si>
    <t>weight</t>
  </si>
  <si>
    <t>ytvl</t>
  </si>
  <si>
    <t>clp</t>
  </si>
  <si>
    <t>0.82</t>
  </si>
  <si>
    <t>0.95</t>
  </si>
  <si>
    <t>0.93</t>
  </si>
  <si>
    <t>0.96</t>
  </si>
  <si>
    <t>0.99</t>
  </si>
  <si>
    <t>0.89</t>
  </si>
  <si>
    <t>0.98</t>
  </si>
  <si>
    <t>0.78</t>
  </si>
  <si>
    <t>0.92</t>
  </si>
  <si>
    <t>0.85</t>
  </si>
  <si>
    <t>0.83</t>
  </si>
  <si>
    <t>0.81</t>
  </si>
  <si>
    <t>0.87</t>
  </si>
  <si>
    <t>0.76</t>
  </si>
  <si>
    <t>0.94</t>
  </si>
  <si>
    <t>0.97</t>
  </si>
  <si>
    <t>0.91</t>
  </si>
  <si>
    <t>0.84</t>
  </si>
  <si>
    <t>0.88</t>
  </si>
  <si>
    <t>0.79</t>
  </si>
  <si>
    <t>0.86</t>
  </si>
  <si>
    <t>0.77</t>
  </si>
  <si>
    <t>0.90</t>
  </si>
  <si>
    <t>0.80</t>
  </si>
  <si>
    <t>Comparison of isolation protocols</t>
  </si>
  <si>
    <t>Optimization of protocol for spore DNA isolation from human stool samples</t>
  </si>
  <si>
    <t xml:space="preserve">Longitudinal study </t>
  </si>
  <si>
    <t xml:space="preserve">Sequencing platform </t>
  </si>
  <si>
    <t>MiSeq</t>
  </si>
  <si>
    <t>NextSeq</t>
  </si>
  <si>
    <t xml:space="preserve">Type of sequencing </t>
  </si>
  <si>
    <t>Amplicon (V3-V4 region of the 16S rRNA gene)</t>
  </si>
  <si>
    <t xml:space="preserve">Polymerase </t>
  </si>
  <si>
    <t>KAPA HiFI</t>
  </si>
  <si>
    <t xml:space="preserve">Q5 </t>
  </si>
  <si>
    <t>Q5</t>
  </si>
  <si>
    <t xml:space="preserve">Total number of reads </t>
  </si>
  <si>
    <t> 3 258 569</t>
  </si>
  <si>
    <t> 4 000 965</t>
  </si>
  <si>
    <t>62 793 747</t>
  </si>
  <si>
    <t>0.001% of all reads</t>
  </si>
  <si>
    <t>0,0001% of all reads</t>
  </si>
  <si>
    <t>Average number of reads per sample</t>
  </si>
  <si>
    <t> 90515.8</t>
  </si>
  <si>
    <t> 25006.03</t>
  </si>
  <si>
    <t>270662.7</t>
  </si>
  <si>
    <t xml:space="preserve">Min / Max number of reads in a sample </t>
  </si>
  <si>
    <t> 12542 / 153 530</t>
  </si>
  <si>
    <t> 3 / 85784</t>
  </si>
  <si>
    <t>61388 / 884743</t>
  </si>
  <si>
    <t>Number of reads per sample (rarefaction depth)</t>
  </si>
  <si>
    <t> 50 000</t>
  </si>
  <si>
    <t> 10 000</t>
  </si>
  <si>
    <t>150 000</t>
  </si>
  <si>
    <t xml:space="preserve">SRA project number </t>
  </si>
  <si>
    <t>PRJNA887005</t>
  </si>
  <si>
    <t>Data available upon request</t>
  </si>
  <si>
    <t>PRJNA1124620 </t>
  </si>
  <si>
    <t>DNBSeq</t>
  </si>
  <si>
    <t xml:space="preserve">Shotgun metagenomic sequencing bulk microbiota samples </t>
  </si>
  <si>
    <t xml:space="preserve">Shotgun metagenomic sequencing of ethanol treated samples </t>
  </si>
  <si>
    <t>Phi29</t>
  </si>
  <si>
    <t>116/116</t>
  </si>
  <si>
    <t>116/85</t>
  </si>
  <si>
    <t>4e7 / 5e7</t>
  </si>
  <si>
    <t>5e6 / 1e8</t>
  </si>
  <si>
    <t xml:space="preserve">Clean 1: Percentage of reads remaining after qualitiy filtering (mean/min/max) </t>
  </si>
  <si>
    <t>98,5 / 88,8 / 99,3</t>
  </si>
  <si>
    <t>51,2 / 22,9 / 98,3</t>
  </si>
  <si>
    <t>Clean 2: Percentage of reads remaining after removal of human sequences (mean/min/max)</t>
  </si>
  <si>
    <t>50,5 / 22,3 / 98,3</t>
  </si>
  <si>
    <t>Sucessfully sequenced</t>
  </si>
  <si>
    <t>5 700 000 000</t>
  </si>
  <si>
    <t>4 600 000 000</t>
  </si>
  <si>
    <t>49 000 000</t>
  </si>
  <si>
    <t>55 000 000</t>
  </si>
  <si>
    <t>OTUs with less than reads removed</t>
  </si>
  <si>
    <t>all</t>
  </si>
  <si>
    <t>234/6 removed including both negative controls</t>
  </si>
  <si>
    <t>Longitudinal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</si>
</sst>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38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rgb="FF000000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0" fontId="2" fillId="0" borderId="0" xfId="0" applyFont="1"/>
    <xf numFmtId="0" fontId="0" fillId="0" borderId="0" xfId="0" applyAlignment="1">
      <alignment horizontal="left"/>
    </xf>
    <xf numFmtId="0" fontId="4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/>
    </xf>
    <xf numFmtId="0" fontId="3" fillId="0" borderId="1" xfId="0" applyFont="1" applyBorder="1" applyAlignment="1"/>
    <xf numFmtId="0" fontId="3" fillId="0" borderId="1" xfId="0" applyFont="1" applyBorder="1" applyAlignment="1">
      <alignment wrapText="1"/>
    </xf>
    <xf numFmtId="0" fontId="3" fillId="0" borderId="2" xfId="0" applyFont="1" applyBorder="1" applyAlignment="1"/>
    <xf numFmtId="0" fontId="3" fillId="0" borderId="3" xfId="0" applyFont="1" applyBorder="1" applyAlignment="1"/>
    <xf numFmtId="0" fontId="4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wrapText="1"/>
    </xf>
    <xf numFmtId="11" fontId="4" fillId="0" borderId="1" xfId="0" applyNumberFormat="1" applyFont="1" applyBorder="1" applyAlignment="1"/>
    <xf numFmtId="0" fontId="4" fillId="0" borderId="1" xfId="0" applyFont="1" applyBorder="1" applyAlignme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398DA-232C-4FEE-A95F-A67F85B82E84}">
  <dimension ref="A1:J20"/>
  <sheetViews>
    <sheetView tabSelected="1" workbookViewId="0">
      <selection sqref="A1:G12"/>
    </sheetView>
  </sheetViews>
  <sheetFormatPr defaultRowHeight="15" x14ac:dyDescent="0.25"/>
  <cols>
    <col min="1" max="4" width="19.42578125" style="6" customWidth="1"/>
    <col min="5" max="5" width="18.140625" style="6" customWidth="1"/>
    <col min="6" max="10" width="19.42578125" style="6" customWidth="1"/>
  </cols>
  <sheetData>
    <row r="1" spans="1:10" ht="51.75" x14ac:dyDescent="0.25">
      <c r="A1" s="9"/>
      <c r="B1" s="10" t="s">
        <v>226</v>
      </c>
      <c r="C1" s="10" t="s">
        <v>227</v>
      </c>
      <c r="D1" s="10" t="s">
        <v>228</v>
      </c>
      <c r="E1" s="10"/>
      <c r="F1" s="11" t="s">
        <v>281</v>
      </c>
      <c r="G1" s="12"/>
      <c r="J1" s="7"/>
    </row>
    <row r="2" spans="1:10" x14ac:dyDescent="0.25">
      <c r="A2" s="10" t="s">
        <v>229</v>
      </c>
      <c r="B2" s="10" t="s">
        <v>230</v>
      </c>
      <c r="C2" s="10" t="s">
        <v>230</v>
      </c>
      <c r="D2" s="10" t="s">
        <v>231</v>
      </c>
      <c r="E2" s="10"/>
      <c r="F2" s="13" t="s">
        <v>260</v>
      </c>
      <c r="G2" s="13"/>
      <c r="J2" s="7"/>
    </row>
    <row r="3" spans="1:10" ht="39" x14ac:dyDescent="0.25">
      <c r="A3" s="10" t="s">
        <v>232</v>
      </c>
      <c r="B3" s="14" t="s">
        <v>233</v>
      </c>
      <c r="C3" s="14"/>
      <c r="D3" s="14"/>
      <c r="E3" s="10"/>
      <c r="F3" s="15" t="s">
        <v>261</v>
      </c>
      <c r="G3" s="15" t="s">
        <v>262</v>
      </c>
      <c r="J3" s="7"/>
    </row>
    <row r="4" spans="1:10" x14ac:dyDescent="0.25">
      <c r="A4" s="10" t="s">
        <v>234</v>
      </c>
      <c r="B4" s="10" t="s">
        <v>235</v>
      </c>
      <c r="C4" s="10" t="s">
        <v>236</v>
      </c>
      <c r="D4" s="10" t="s">
        <v>237</v>
      </c>
      <c r="E4" s="10"/>
      <c r="F4" s="15" t="s">
        <v>263</v>
      </c>
      <c r="G4" s="15"/>
      <c r="J4" s="7"/>
    </row>
    <row r="5" spans="1:10" ht="39" x14ac:dyDescent="0.25">
      <c r="A5" s="10" t="s">
        <v>273</v>
      </c>
      <c r="B5" s="10" t="s">
        <v>279</v>
      </c>
      <c r="C5" s="10" t="s">
        <v>279</v>
      </c>
      <c r="D5" s="10" t="s">
        <v>280</v>
      </c>
      <c r="E5" s="10"/>
      <c r="F5" s="15" t="s">
        <v>264</v>
      </c>
      <c r="G5" s="15" t="s">
        <v>265</v>
      </c>
      <c r="J5" s="7"/>
    </row>
    <row r="6" spans="1:10" x14ac:dyDescent="0.25">
      <c r="A6" s="10" t="s">
        <v>238</v>
      </c>
      <c r="B6" s="10" t="s">
        <v>239</v>
      </c>
      <c r="C6" s="10" t="s">
        <v>240</v>
      </c>
      <c r="D6" s="10" t="s">
        <v>241</v>
      </c>
      <c r="E6" s="10"/>
      <c r="F6" s="16" t="s">
        <v>274</v>
      </c>
      <c r="G6" s="17" t="s">
        <v>275</v>
      </c>
      <c r="J6" s="7"/>
    </row>
    <row r="7" spans="1:10" ht="26.25" x14ac:dyDescent="0.25">
      <c r="A7" s="10" t="s">
        <v>244</v>
      </c>
      <c r="B7" s="10" t="s">
        <v>245</v>
      </c>
      <c r="C7" s="10" t="s">
        <v>246</v>
      </c>
      <c r="D7" s="10" t="s">
        <v>247</v>
      </c>
      <c r="E7" s="10"/>
      <c r="F7" s="17" t="s">
        <v>276</v>
      </c>
      <c r="G7" s="17" t="s">
        <v>277</v>
      </c>
      <c r="J7" s="7"/>
    </row>
    <row r="8" spans="1:10" ht="26.25" x14ac:dyDescent="0.25">
      <c r="A8" s="10" t="s">
        <v>248</v>
      </c>
      <c r="B8" s="10" t="s">
        <v>249</v>
      </c>
      <c r="C8" s="10" t="s">
        <v>250</v>
      </c>
      <c r="D8" s="10" t="s">
        <v>251</v>
      </c>
      <c r="E8" s="10"/>
      <c r="F8" s="15" t="s">
        <v>266</v>
      </c>
      <c r="G8" s="18" t="s">
        <v>267</v>
      </c>
      <c r="J8" s="7"/>
    </row>
    <row r="9" spans="1:10" ht="39" x14ac:dyDescent="0.25">
      <c r="A9" s="10" t="s">
        <v>252</v>
      </c>
      <c r="B9" s="10" t="s">
        <v>253</v>
      </c>
      <c r="C9" s="10" t="s">
        <v>254</v>
      </c>
      <c r="D9" s="10" t="s">
        <v>255</v>
      </c>
      <c r="E9" s="10"/>
      <c r="F9" s="9"/>
      <c r="G9" s="9"/>
      <c r="J9" s="7"/>
    </row>
    <row r="10" spans="1:10" ht="52.5" customHeight="1" x14ac:dyDescent="0.25">
      <c r="A10" s="10" t="s">
        <v>278</v>
      </c>
      <c r="B10" s="10" t="s">
        <v>242</v>
      </c>
      <c r="C10" s="10" t="s">
        <v>242</v>
      </c>
      <c r="D10" s="10" t="s">
        <v>243</v>
      </c>
      <c r="E10" s="15" t="s">
        <v>268</v>
      </c>
      <c r="F10" s="15" t="s">
        <v>269</v>
      </c>
      <c r="G10" s="18" t="s">
        <v>270</v>
      </c>
      <c r="J10" s="7"/>
    </row>
    <row r="11" spans="1:10" ht="71.25" customHeight="1" x14ac:dyDescent="0.25">
      <c r="A11" s="9"/>
      <c r="B11" s="9"/>
      <c r="C11" s="9"/>
      <c r="D11" s="9"/>
      <c r="E11" s="15" t="s">
        <v>271</v>
      </c>
      <c r="F11" s="15" t="s">
        <v>269</v>
      </c>
      <c r="G11" s="18" t="s">
        <v>272</v>
      </c>
      <c r="J11" s="8"/>
    </row>
    <row r="12" spans="1:10" ht="26.25" x14ac:dyDescent="0.25">
      <c r="A12" s="10" t="s">
        <v>256</v>
      </c>
      <c r="B12" s="10" t="s">
        <v>257</v>
      </c>
      <c r="C12" s="10" t="s">
        <v>258</v>
      </c>
      <c r="D12" s="10" t="s">
        <v>259</v>
      </c>
      <c r="E12" s="10"/>
      <c r="F12" s="9"/>
      <c r="G12" s="9"/>
      <c r="J12" s="8"/>
    </row>
    <row r="20" spans="6:8" x14ac:dyDescent="0.25">
      <c r="F20" s="7"/>
      <c r="G20" s="7"/>
      <c r="H20" s="8"/>
    </row>
  </sheetData>
  <mergeCells count="3">
    <mergeCell ref="B3:D3"/>
    <mergeCell ref="F2:G2"/>
    <mergeCell ref="F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1F764-2817-42B1-BB85-AB1C44C4F3B3}">
  <dimension ref="A1:V65"/>
  <sheetViews>
    <sheetView zoomScale="90" zoomScaleNormal="90" workbookViewId="0">
      <selection activeCell="M25" sqref="M25"/>
    </sheetView>
  </sheetViews>
  <sheetFormatPr defaultRowHeight="15" x14ac:dyDescent="0.25"/>
  <cols>
    <col min="1" max="1" width="24.5703125" customWidth="1"/>
    <col min="2" max="2" width="36.140625" bestFit="1" customWidth="1"/>
    <col min="3" max="3" width="9" bestFit="1" customWidth="1"/>
    <col min="4" max="4" width="19.140625" bestFit="1" customWidth="1"/>
    <col min="5" max="5" width="22" style="6" bestFit="1" customWidth="1"/>
    <col min="6" max="6" width="21.140625" bestFit="1" customWidth="1"/>
    <col min="7" max="7" width="18.28515625" bestFit="1" customWidth="1"/>
    <col min="8" max="8" width="17.28515625" bestFit="1" customWidth="1"/>
    <col min="10" max="10" width="17.28515625" bestFit="1" customWidth="1"/>
    <col min="11" max="11" width="14.140625" customWidth="1"/>
  </cols>
  <sheetData>
    <row r="1" spans="1:11" x14ac:dyDescent="0.25">
      <c r="A1" t="s">
        <v>43</v>
      </c>
      <c r="B1" t="s">
        <v>44</v>
      </c>
      <c r="C1" t="s">
        <v>45</v>
      </c>
      <c r="D1" t="s">
        <v>46</v>
      </c>
      <c r="E1" s="6" t="s">
        <v>199</v>
      </c>
      <c r="F1" t="s">
        <v>47</v>
      </c>
      <c r="G1" t="s">
        <v>48</v>
      </c>
    </row>
    <row r="2" spans="1:11" x14ac:dyDescent="0.25">
      <c r="A2" t="s">
        <v>188</v>
      </c>
      <c r="B2" t="s">
        <v>177</v>
      </c>
      <c r="C2">
        <v>936629</v>
      </c>
      <c r="D2" t="s">
        <v>189</v>
      </c>
      <c r="E2" s="4" t="s">
        <v>203</v>
      </c>
      <c r="F2" t="s">
        <v>190</v>
      </c>
      <c r="G2" t="s">
        <v>191</v>
      </c>
      <c r="H2" s="3"/>
      <c r="I2" s="4"/>
      <c r="J2" s="1"/>
      <c r="K2" s="2"/>
    </row>
    <row r="3" spans="1:11" x14ac:dyDescent="0.25">
      <c r="A3" t="s">
        <v>163</v>
      </c>
      <c r="B3" t="s">
        <v>164</v>
      </c>
      <c r="C3">
        <v>937505</v>
      </c>
      <c r="D3" t="s">
        <v>31</v>
      </c>
      <c r="E3" s="4" t="s">
        <v>208</v>
      </c>
      <c r="F3" t="s">
        <v>165</v>
      </c>
      <c r="G3" t="s">
        <v>166</v>
      </c>
      <c r="H3" s="3"/>
      <c r="I3" s="4"/>
      <c r="J3" s="1"/>
      <c r="K3" s="2"/>
    </row>
    <row r="4" spans="1:11" x14ac:dyDescent="0.25">
      <c r="A4" t="s">
        <v>176</v>
      </c>
      <c r="B4" t="s">
        <v>177</v>
      </c>
      <c r="C4">
        <v>937776</v>
      </c>
      <c r="D4" t="s">
        <v>36</v>
      </c>
      <c r="E4" s="4" t="s">
        <v>218</v>
      </c>
      <c r="F4" t="s">
        <v>178</v>
      </c>
      <c r="G4" t="s">
        <v>179</v>
      </c>
      <c r="H4" s="3"/>
      <c r="I4" s="4"/>
      <c r="J4" s="1"/>
      <c r="K4" s="2"/>
    </row>
    <row r="5" spans="1:11" x14ac:dyDescent="0.25">
      <c r="A5" t="s">
        <v>182</v>
      </c>
      <c r="B5" t="s">
        <v>177</v>
      </c>
      <c r="C5">
        <v>938885</v>
      </c>
      <c r="D5" t="s">
        <v>183</v>
      </c>
      <c r="E5" s="4" t="s">
        <v>220</v>
      </c>
      <c r="F5" t="s">
        <v>52</v>
      </c>
      <c r="G5" t="s">
        <v>184</v>
      </c>
      <c r="H5" s="3"/>
      <c r="I5" s="4"/>
      <c r="J5" s="1"/>
      <c r="K5" s="2"/>
    </row>
    <row r="6" spans="1:11" x14ac:dyDescent="0.25">
      <c r="A6" t="s">
        <v>185</v>
      </c>
      <c r="B6" t="s">
        <v>177</v>
      </c>
      <c r="C6">
        <v>939307</v>
      </c>
      <c r="D6" t="s">
        <v>38</v>
      </c>
      <c r="E6" s="4" t="s">
        <v>210</v>
      </c>
      <c r="F6" t="s">
        <v>186</v>
      </c>
      <c r="G6" t="s">
        <v>187</v>
      </c>
      <c r="H6" s="3"/>
      <c r="J6" s="1"/>
      <c r="K6" s="2"/>
    </row>
    <row r="7" spans="1:11" x14ac:dyDescent="0.25">
      <c r="A7" t="s">
        <v>192</v>
      </c>
      <c r="B7" t="s">
        <v>177</v>
      </c>
      <c r="C7">
        <v>939649</v>
      </c>
      <c r="D7" t="s">
        <v>39</v>
      </c>
      <c r="E7" s="4" t="s">
        <v>214</v>
      </c>
      <c r="F7" t="s">
        <v>186</v>
      </c>
      <c r="G7" t="s">
        <v>193</v>
      </c>
      <c r="H7" s="3"/>
      <c r="I7" s="4"/>
      <c r="J7" s="1"/>
      <c r="K7" s="2"/>
    </row>
    <row r="8" spans="1:11" x14ac:dyDescent="0.25">
      <c r="A8" t="s">
        <v>139</v>
      </c>
      <c r="B8" t="s">
        <v>50</v>
      </c>
      <c r="C8">
        <v>4912896</v>
      </c>
      <c r="D8" s="3" t="s">
        <v>17</v>
      </c>
      <c r="E8" s="4" t="s">
        <v>217</v>
      </c>
      <c r="F8" t="s">
        <v>137</v>
      </c>
      <c r="G8" t="s">
        <v>138</v>
      </c>
      <c r="H8" s="3"/>
      <c r="I8" s="4"/>
      <c r="J8" s="1"/>
      <c r="K8" s="2"/>
    </row>
    <row r="9" spans="1:11" x14ac:dyDescent="0.25">
      <c r="A9" t="s">
        <v>136</v>
      </c>
      <c r="B9" t="s">
        <v>50</v>
      </c>
      <c r="C9">
        <v>4912897</v>
      </c>
      <c r="D9" s="3" t="s">
        <v>16</v>
      </c>
      <c r="E9" s="4" t="s">
        <v>203</v>
      </c>
      <c r="F9" t="s">
        <v>137</v>
      </c>
      <c r="G9" t="s">
        <v>138</v>
      </c>
      <c r="H9" s="3"/>
      <c r="I9" s="4"/>
      <c r="J9" s="1"/>
      <c r="K9" s="2"/>
    </row>
    <row r="10" spans="1:11" x14ac:dyDescent="0.25">
      <c r="A10" t="s">
        <v>104</v>
      </c>
      <c r="B10" t="s">
        <v>50</v>
      </c>
      <c r="C10">
        <v>4912991</v>
      </c>
      <c r="D10" t="s">
        <v>105</v>
      </c>
      <c r="E10" s="4" t="s">
        <v>224</v>
      </c>
      <c r="F10" t="s">
        <v>106</v>
      </c>
      <c r="G10" t="s">
        <v>107</v>
      </c>
      <c r="H10" s="3"/>
      <c r="J10" s="1"/>
      <c r="K10" s="2"/>
    </row>
    <row r="11" spans="1:11" x14ac:dyDescent="0.25">
      <c r="A11" t="s">
        <v>68</v>
      </c>
      <c r="B11" t="s">
        <v>50</v>
      </c>
      <c r="C11">
        <v>4913062</v>
      </c>
      <c r="D11" t="s">
        <v>68</v>
      </c>
      <c r="E11" s="4" t="s">
        <v>212</v>
      </c>
      <c r="F11" t="s">
        <v>69</v>
      </c>
      <c r="G11" t="s">
        <v>70</v>
      </c>
      <c r="H11" s="3"/>
      <c r="I11" s="4"/>
      <c r="J11" s="1"/>
      <c r="K11" s="2"/>
    </row>
    <row r="12" spans="1:11" x14ac:dyDescent="0.25">
      <c r="A12" t="s">
        <v>170</v>
      </c>
      <c r="B12" t="s">
        <v>50</v>
      </c>
      <c r="C12">
        <v>4913089</v>
      </c>
      <c r="D12" t="s">
        <v>34</v>
      </c>
      <c r="E12" s="4" t="s">
        <v>202</v>
      </c>
      <c r="F12" t="s">
        <v>146</v>
      </c>
      <c r="G12" t="s">
        <v>168</v>
      </c>
      <c r="H12" s="3"/>
      <c r="I12" s="4"/>
      <c r="J12" s="1"/>
      <c r="K12" s="2"/>
    </row>
    <row r="13" spans="1:11" x14ac:dyDescent="0.25">
      <c r="A13" t="s">
        <v>158</v>
      </c>
      <c r="B13" t="s">
        <v>50</v>
      </c>
      <c r="C13">
        <v>4913102</v>
      </c>
      <c r="D13" t="s">
        <v>29</v>
      </c>
      <c r="E13" s="4" t="s">
        <v>203</v>
      </c>
      <c r="F13" t="s">
        <v>146</v>
      </c>
      <c r="G13" t="s">
        <v>159</v>
      </c>
      <c r="H13" s="3"/>
      <c r="I13" s="4"/>
      <c r="J13" s="1"/>
      <c r="K13" s="2"/>
    </row>
    <row r="14" spans="1:11" x14ac:dyDescent="0.25">
      <c r="A14" t="s">
        <v>91</v>
      </c>
      <c r="B14" t="s">
        <v>50</v>
      </c>
      <c r="C14">
        <v>4913168</v>
      </c>
      <c r="D14" t="s">
        <v>92</v>
      </c>
      <c r="E14" s="4" t="s">
        <v>215</v>
      </c>
      <c r="F14" t="s">
        <v>93</v>
      </c>
      <c r="G14" t="s">
        <v>94</v>
      </c>
      <c r="H14" s="3"/>
      <c r="J14" s="1"/>
      <c r="K14" s="2"/>
    </row>
    <row r="15" spans="1:11" x14ac:dyDescent="0.25">
      <c r="A15" t="s">
        <v>80</v>
      </c>
      <c r="B15" t="s">
        <v>50</v>
      </c>
      <c r="C15">
        <v>4913197</v>
      </c>
      <c r="D15" t="s">
        <v>3</v>
      </c>
      <c r="E15" s="4">
        <v>1</v>
      </c>
      <c r="F15" t="s">
        <v>69</v>
      </c>
      <c r="G15" t="s">
        <v>70</v>
      </c>
      <c r="J15" s="1"/>
      <c r="K15" s="2"/>
    </row>
    <row r="16" spans="1:11" x14ac:dyDescent="0.25">
      <c r="A16" t="s">
        <v>152</v>
      </c>
      <c r="B16" t="s">
        <v>50</v>
      </c>
      <c r="C16">
        <v>4913258</v>
      </c>
      <c r="D16" s="3" t="s">
        <v>25</v>
      </c>
      <c r="E16" s="6" t="s">
        <v>206</v>
      </c>
      <c r="F16" t="s">
        <v>146</v>
      </c>
      <c r="G16" t="s">
        <v>147</v>
      </c>
      <c r="H16" s="3"/>
      <c r="I16" s="4"/>
      <c r="J16" s="1"/>
      <c r="K16" s="2"/>
    </row>
    <row r="17" spans="1:22" x14ac:dyDescent="0.25">
      <c r="A17" t="s">
        <v>153</v>
      </c>
      <c r="B17" t="s">
        <v>50</v>
      </c>
      <c r="C17">
        <v>4913259</v>
      </c>
      <c r="D17" s="3" t="s">
        <v>26</v>
      </c>
      <c r="E17" s="4" t="s">
        <v>207</v>
      </c>
      <c r="F17" t="s">
        <v>154</v>
      </c>
      <c r="G17" t="s">
        <v>58</v>
      </c>
      <c r="H17" s="3"/>
      <c r="I17" s="4"/>
      <c r="J17" s="1"/>
      <c r="K17" s="2"/>
    </row>
    <row r="18" spans="1:22" x14ac:dyDescent="0.25">
      <c r="A18" t="s">
        <v>56</v>
      </c>
      <c r="B18" t="s">
        <v>50</v>
      </c>
      <c r="C18">
        <v>4913272</v>
      </c>
      <c r="D18" s="1" t="s">
        <v>2</v>
      </c>
      <c r="E18" s="4" t="s">
        <v>208</v>
      </c>
      <c r="F18" t="s">
        <v>57</v>
      </c>
      <c r="G18" t="s">
        <v>58</v>
      </c>
      <c r="J18" s="1"/>
    </row>
    <row r="19" spans="1:22" x14ac:dyDescent="0.25">
      <c r="A19" t="s">
        <v>88</v>
      </c>
      <c r="B19" t="s">
        <v>50</v>
      </c>
      <c r="C19">
        <v>4913287</v>
      </c>
      <c r="D19" t="s">
        <v>6</v>
      </c>
      <c r="E19" s="4" t="s">
        <v>219</v>
      </c>
      <c r="F19" t="s">
        <v>89</v>
      </c>
      <c r="G19" t="s">
        <v>90</v>
      </c>
      <c r="H19" s="3"/>
      <c r="I19" s="4"/>
      <c r="J19" s="1"/>
      <c r="K19" s="2"/>
    </row>
    <row r="20" spans="1:22" x14ac:dyDescent="0.25">
      <c r="A20" t="s">
        <v>127</v>
      </c>
      <c r="B20" t="s">
        <v>50</v>
      </c>
      <c r="C20">
        <v>4913325</v>
      </c>
      <c r="D20" t="s">
        <v>13</v>
      </c>
      <c r="E20" s="4" t="s">
        <v>220</v>
      </c>
      <c r="F20" t="s">
        <v>124</v>
      </c>
      <c r="G20" t="s">
        <v>125</v>
      </c>
      <c r="H20" s="3"/>
      <c r="I20" s="4"/>
      <c r="J20" s="1"/>
      <c r="K20" s="2"/>
    </row>
    <row r="21" spans="1:22" x14ac:dyDescent="0.25">
      <c r="A21" t="s">
        <v>123</v>
      </c>
      <c r="B21" t="s">
        <v>50</v>
      </c>
      <c r="C21">
        <v>4913326</v>
      </c>
      <c r="D21" t="s">
        <v>11</v>
      </c>
      <c r="E21" s="4" t="s">
        <v>220</v>
      </c>
      <c r="F21" t="s">
        <v>124</v>
      </c>
      <c r="G21" t="s">
        <v>125</v>
      </c>
      <c r="H21" s="3"/>
      <c r="I21" s="4"/>
      <c r="J21" s="1"/>
      <c r="K21" s="2"/>
    </row>
    <row r="22" spans="1:22" x14ac:dyDescent="0.25">
      <c r="A22" t="s">
        <v>142</v>
      </c>
      <c r="B22" t="s">
        <v>50</v>
      </c>
      <c r="C22">
        <v>4913327</v>
      </c>
      <c r="D22" s="3" t="s">
        <v>19</v>
      </c>
      <c r="E22" s="4" t="s">
        <v>208</v>
      </c>
      <c r="F22" t="s">
        <v>143</v>
      </c>
      <c r="G22" t="s">
        <v>144</v>
      </c>
      <c r="H22" s="3"/>
      <c r="J22" s="1"/>
      <c r="K22" s="2"/>
    </row>
    <row r="23" spans="1:22" x14ac:dyDescent="0.25">
      <c r="A23" t="s">
        <v>95</v>
      </c>
      <c r="B23" t="s">
        <v>50</v>
      </c>
      <c r="C23">
        <v>4913333</v>
      </c>
      <c r="D23" s="3" t="s">
        <v>7</v>
      </c>
      <c r="E23" s="4" t="s">
        <v>215</v>
      </c>
      <c r="F23" t="s">
        <v>96</v>
      </c>
      <c r="G23" t="s">
        <v>97</v>
      </c>
      <c r="H23" s="3"/>
      <c r="J23" s="1"/>
      <c r="K23" s="2"/>
    </row>
    <row r="24" spans="1:22" x14ac:dyDescent="0.25">
      <c r="A24" t="s">
        <v>169</v>
      </c>
      <c r="B24" t="s">
        <v>50</v>
      </c>
      <c r="C24">
        <v>4913335</v>
      </c>
      <c r="D24" t="s">
        <v>33</v>
      </c>
      <c r="E24" s="4" t="s">
        <v>220</v>
      </c>
      <c r="F24" t="s">
        <v>146</v>
      </c>
      <c r="G24" t="s">
        <v>168</v>
      </c>
      <c r="H24" s="3"/>
      <c r="I24" s="4"/>
      <c r="J24" s="1"/>
      <c r="K24" s="2"/>
    </row>
    <row r="25" spans="1:22" x14ac:dyDescent="0.25">
      <c r="A25" t="s">
        <v>195</v>
      </c>
      <c r="B25" t="s">
        <v>50</v>
      </c>
      <c r="C25">
        <v>4913356</v>
      </c>
      <c r="D25" s="3" t="s">
        <v>40</v>
      </c>
      <c r="E25" s="4" t="s">
        <v>204</v>
      </c>
      <c r="F25" t="s">
        <v>78</v>
      </c>
      <c r="G25" t="s">
        <v>79</v>
      </c>
    </row>
    <row r="26" spans="1:22" x14ac:dyDescent="0.25">
      <c r="A26" t="s">
        <v>63</v>
      </c>
      <c r="B26" t="s">
        <v>50</v>
      </c>
      <c r="C26">
        <v>4913416</v>
      </c>
      <c r="D26" t="s">
        <v>63</v>
      </c>
      <c r="E26" s="4" t="s">
        <v>204</v>
      </c>
      <c r="F26" t="s">
        <v>64</v>
      </c>
      <c r="G26" t="s">
        <v>65</v>
      </c>
      <c r="H26" s="3"/>
      <c r="I26" s="4"/>
      <c r="J26" s="1"/>
      <c r="K26" s="2"/>
      <c r="S26" s="3"/>
      <c r="U26" s="1"/>
      <c r="V26" s="2"/>
    </row>
    <row r="27" spans="1:22" x14ac:dyDescent="0.25">
      <c r="A27" t="s">
        <v>73</v>
      </c>
      <c r="B27" t="s">
        <v>50</v>
      </c>
      <c r="C27">
        <v>4913675</v>
      </c>
      <c r="D27" t="s">
        <v>73</v>
      </c>
      <c r="E27" s="4" t="s">
        <v>225</v>
      </c>
      <c r="F27" t="s">
        <v>74</v>
      </c>
      <c r="G27" t="s">
        <v>58</v>
      </c>
      <c r="H27" s="3"/>
      <c r="J27" s="1"/>
      <c r="K27" s="2"/>
    </row>
    <row r="28" spans="1:22" x14ac:dyDescent="0.25">
      <c r="A28" t="s">
        <v>84</v>
      </c>
      <c r="B28" t="s">
        <v>50</v>
      </c>
      <c r="C28">
        <v>4913742</v>
      </c>
      <c r="D28" s="3" t="s">
        <v>4</v>
      </c>
      <c r="E28" s="4" t="s">
        <v>205</v>
      </c>
      <c r="F28" t="s">
        <v>82</v>
      </c>
      <c r="G28" t="s">
        <v>83</v>
      </c>
      <c r="H28" s="3"/>
      <c r="J28" s="1"/>
      <c r="K28" s="2"/>
      <c r="U28" s="1"/>
      <c r="V28" s="2"/>
    </row>
    <row r="29" spans="1:22" x14ac:dyDescent="0.25">
      <c r="A29" t="s">
        <v>196</v>
      </c>
      <c r="B29" t="s">
        <v>50</v>
      </c>
      <c r="C29">
        <v>4913806</v>
      </c>
      <c r="D29" t="s">
        <v>41</v>
      </c>
      <c r="E29" s="4" t="s">
        <v>212</v>
      </c>
      <c r="F29" t="s">
        <v>137</v>
      </c>
      <c r="G29" t="s">
        <v>173</v>
      </c>
    </row>
    <row r="30" spans="1:22" x14ac:dyDescent="0.25">
      <c r="A30" t="s">
        <v>157</v>
      </c>
      <c r="B30" t="s">
        <v>50</v>
      </c>
      <c r="C30">
        <v>4914203</v>
      </c>
      <c r="D30" t="s">
        <v>28</v>
      </c>
      <c r="E30" s="4" t="s">
        <v>219</v>
      </c>
      <c r="F30" t="s">
        <v>146</v>
      </c>
      <c r="G30" t="s">
        <v>156</v>
      </c>
      <c r="H30" s="3"/>
      <c r="J30" s="1"/>
      <c r="K30" s="2"/>
      <c r="S30" s="3"/>
      <c r="T30" s="4"/>
      <c r="U30" s="1"/>
      <c r="V30" s="2"/>
    </row>
    <row r="31" spans="1:22" x14ac:dyDescent="0.25">
      <c r="A31" t="s">
        <v>130</v>
      </c>
      <c r="B31" t="s">
        <v>50</v>
      </c>
      <c r="C31">
        <v>4914206</v>
      </c>
      <c r="D31" t="s">
        <v>130</v>
      </c>
      <c r="E31" s="4" t="s">
        <v>205</v>
      </c>
      <c r="F31" t="s">
        <v>131</v>
      </c>
      <c r="G31" t="s">
        <v>132</v>
      </c>
      <c r="H31" s="3"/>
      <c r="I31" s="4"/>
      <c r="J31" s="1"/>
      <c r="K31" s="2"/>
    </row>
    <row r="32" spans="1:22" x14ac:dyDescent="0.25">
      <c r="A32" t="s">
        <v>180</v>
      </c>
      <c r="B32" t="s">
        <v>50</v>
      </c>
      <c r="C32">
        <v>4914208</v>
      </c>
      <c r="D32" t="s">
        <v>37</v>
      </c>
      <c r="E32" s="4" t="s">
        <v>211</v>
      </c>
      <c r="F32" t="s">
        <v>66</v>
      </c>
      <c r="G32" t="s">
        <v>161</v>
      </c>
      <c r="H32" s="3"/>
      <c r="I32" s="4"/>
      <c r="J32" s="1"/>
      <c r="K32" s="2"/>
      <c r="S32" s="3"/>
      <c r="T32" s="4"/>
      <c r="U32" s="1"/>
      <c r="V32" s="2"/>
    </row>
    <row r="33" spans="1:22" x14ac:dyDescent="0.25">
      <c r="A33" t="s">
        <v>117</v>
      </c>
      <c r="B33" t="s">
        <v>50</v>
      </c>
      <c r="C33">
        <v>4914213</v>
      </c>
      <c r="D33" t="s">
        <v>117</v>
      </c>
      <c r="E33" s="4" t="s">
        <v>203</v>
      </c>
      <c r="F33" t="s">
        <v>118</v>
      </c>
      <c r="G33" t="s">
        <v>119</v>
      </c>
      <c r="H33" s="3"/>
      <c r="I33" s="4"/>
      <c r="J33" s="1"/>
      <c r="K33" s="2"/>
    </row>
    <row r="34" spans="1:22" x14ac:dyDescent="0.25">
      <c r="A34" t="s">
        <v>114</v>
      </c>
      <c r="B34" t="s">
        <v>50</v>
      </c>
      <c r="C34">
        <v>4914363</v>
      </c>
      <c r="D34" t="s">
        <v>114</v>
      </c>
      <c r="E34" s="4" t="s">
        <v>202</v>
      </c>
      <c r="F34" t="s">
        <v>115</v>
      </c>
      <c r="G34" t="s">
        <v>116</v>
      </c>
      <c r="H34" s="3"/>
      <c r="J34" s="1"/>
      <c r="K34" s="2"/>
      <c r="S34" s="3"/>
      <c r="T34" s="4"/>
      <c r="U34" s="1"/>
      <c r="V34" s="2"/>
    </row>
    <row r="35" spans="1:22" x14ac:dyDescent="0.25">
      <c r="A35" t="s">
        <v>71</v>
      </c>
      <c r="B35" t="s">
        <v>50</v>
      </c>
      <c r="C35">
        <v>4914464</v>
      </c>
      <c r="D35" t="s">
        <v>71</v>
      </c>
      <c r="E35" s="4" t="s">
        <v>212</v>
      </c>
      <c r="F35" t="s">
        <v>72</v>
      </c>
      <c r="G35" t="s">
        <v>58</v>
      </c>
      <c r="H35" s="3"/>
      <c r="J35" s="1"/>
      <c r="K35" s="2"/>
    </row>
    <row r="36" spans="1:22" x14ac:dyDescent="0.25">
      <c r="A36" t="s">
        <v>85</v>
      </c>
      <c r="B36" t="s">
        <v>50</v>
      </c>
      <c r="C36">
        <v>4914609</v>
      </c>
      <c r="D36" t="s">
        <v>5</v>
      </c>
      <c r="E36" s="4" t="s">
        <v>218</v>
      </c>
      <c r="F36" t="s">
        <v>86</v>
      </c>
      <c r="G36" t="s">
        <v>87</v>
      </c>
      <c r="H36" s="3"/>
      <c r="I36" s="4"/>
      <c r="J36" s="1"/>
      <c r="K36" s="2"/>
    </row>
    <row r="37" spans="1:22" x14ac:dyDescent="0.25">
      <c r="A37" t="s">
        <v>171</v>
      </c>
      <c r="B37" t="s">
        <v>50</v>
      </c>
      <c r="C37">
        <v>4914610</v>
      </c>
      <c r="D37" t="s">
        <v>201</v>
      </c>
      <c r="E37" s="4" t="s">
        <v>211</v>
      </c>
      <c r="F37" t="s">
        <v>172</v>
      </c>
      <c r="G37" t="s">
        <v>173</v>
      </c>
      <c r="H37" s="3"/>
      <c r="I37" s="4"/>
      <c r="J37" s="1"/>
      <c r="K37" s="2"/>
    </row>
    <row r="38" spans="1:22" x14ac:dyDescent="0.25">
      <c r="A38" t="s">
        <v>75</v>
      </c>
      <c r="B38" t="s">
        <v>50</v>
      </c>
      <c r="C38">
        <v>4914711</v>
      </c>
      <c r="D38" t="s">
        <v>75</v>
      </c>
      <c r="E38" s="4" t="s">
        <v>213</v>
      </c>
      <c r="F38" t="s">
        <v>76</v>
      </c>
      <c r="G38" t="s">
        <v>58</v>
      </c>
      <c r="H38" s="3"/>
      <c r="J38" s="1"/>
      <c r="K38" s="2"/>
    </row>
    <row r="39" spans="1:22" x14ac:dyDescent="0.25">
      <c r="A39" t="s">
        <v>160</v>
      </c>
      <c r="B39" t="s">
        <v>50</v>
      </c>
      <c r="C39">
        <v>4914855</v>
      </c>
      <c r="D39" s="3" t="s">
        <v>30</v>
      </c>
      <c r="E39" s="4" t="s">
        <v>209</v>
      </c>
      <c r="F39" t="s">
        <v>161</v>
      </c>
      <c r="G39" t="s">
        <v>162</v>
      </c>
      <c r="H39" s="3"/>
      <c r="I39" s="4"/>
      <c r="J39" s="1"/>
      <c r="K39" s="2"/>
    </row>
    <row r="40" spans="1:22" x14ac:dyDescent="0.25">
      <c r="A40" t="s">
        <v>140</v>
      </c>
      <c r="B40" t="s">
        <v>50</v>
      </c>
      <c r="C40">
        <v>4914856</v>
      </c>
      <c r="D40" t="s">
        <v>18</v>
      </c>
      <c r="E40" s="4" t="s">
        <v>206</v>
      </c>
      <c r="F40" t="s">
        <v>66</v>
      </c>
      <c r="G40" t="s">
        <v>141</v>
      </c>
      <c r="H40" s="3"/>
      <c r="I40" s="4"/>
      <c r="J40" s="1"/>
      <c r="K40" s="2"/>
    </row>
    <row r="41" spans="1:22" x14ac:dyDescent="0.25">
      <c r="A41" t="s">
        <v>108</v>
      </c>
      <c r="B41" t="s">
        <v>50</v>
      </c>
      <c r="C41">
        <v>4914867</v>
      </c>
      <c r="D41" s="3" t="s">
        <v>9</v>
      </c>
      <c r="E41" s="4" t="s">
        <v>210</v>
      </c>
      <c r="F41" t="s">
        <v>109</v>
      </c>
      <c r="G41" t="s">
        <v>110</v>
      </c>
      <c r="J41" s="1"/>
      <c r="K41" s="2"/>
    </row>
    <row r="42" spans="1:22" x14ac:dyDescent="0.25">
      <c r="A42" t="s">
        <v>120</v>
      </c>
      <c r="B42" t="s">
        <v>50</v>
      </c>
      <c r="C42">
        <v>4915130</v>
      </c>
      <c r="D42" t="s">
        <v>10</v>
      </c>
      <c r="E42" s="4" t="s">
        <v>214</v>
      </c>
      <c r="F42" t="s">
        <v>121</v>
      </c>
      <c r="G42" t="s">
        <v>122</v>
      </c>
      <c r="H42" s="3"/>
      <c r="I42" s="4"/>
      <c r="J42" s="1"/>
      <c r="K42" s="2"/>
    </row>
    <row r="43" spans="1:22" x14ac:dyDescent="0.25">
      <c r="A43" t="s">
        <v>53</v>
      </c>
      <c r="B43" t="s">
        <v>50</v>
      </c>
      <c r="C43">
        <v>4915351</v>
      </c>
      <c r="D43" t="s">
        <v>1</v>
      </c>
      <c r="E43" s="4" t="s">
        <v>202</v>
      </c>
      <c r="F43" t="s">
        <v>54</v>
      </c>
      <c r="G43" t="s">
        <v>55</v>
      </c>
      <c r="H43" s="3"/>
      <c r="I43" s="4"/>
      <c r="J43" s="1"/>
      <c r="K43" s="2"/>
    </row>
    <row r="44" spans="1:22" x14ac:dyDescent="0.25">
      <c r="A44" t="s">
        <v>126</v>
      </c>
      <c r="B44" t="s">
        <v>50</v>
      </c>
      <c r="C44">
        <v>4915575</v>
      </c>
      <c r="D44" t="s">
        <v>12</v>
      </c>
      <c r="E44" s="4" t="s">
        <v>212</v>
      </c>
      <c r="F44" t="s">
        <v>124</v>
      </c>
      <c r="G44" t="s">
        <v>125</v>
      </c>
      <c r="H44" s="3"/>
      <c r="I44" s="4"/>
      <c r="J44" s="1"/>
      <c r="K44" s="2"/>
    </row>
    <row r="45" spans="1:22" x14ac:dyDescent="0.25">
      <c r="A45" t="s">
        <v>167</v>
      </c>
      <c r="B45" t="s">
        <v>50</v>
      </c>
      <c r="C45">
        <v>4915577</v>
      </c>
      <c r="D45" t="s">
        <v>32</v>
      </c>
      <c r="E45" s="4" t="s">
        <v>225</v>
      </c>
      <c r="F45" t="s">
        <v>146</v>
      </c>
      <c r="G45" t="s">
        <v>168</v>
      </c>
      <c r="H45" s="3"/>
      <c r="I45" s="4"/>
      <c r="J45" s="1"/>
      <c r="K45" s="2"/>
    </row>
    <row r="46" spans="1:22" x14ac:dyDescent="0.25">
      <c r="A46" t="s">
        <v>133</v>
      </c>
      <c r="B46" t="s">
        <v>50</v>
      </c>
      <c r="C46">
        <v>4915629</v>
      </c>
      <c r="D46" t="s">
        <v>133</v>
      </c>
      <c r="E46" s="4" t="s">
        <v>208</v>
      </c>
      <c r="F46" t="s">
        <v>134</v>
      </c>
      <c r="G46" t="s">
        <v>135</v>
      </c>
      <c r="H46" s="3"/>
      <c r="J46" s="1"/>
      <c r="K46" s="2"/>
    </row>
    <row r="47" spans="1:22" x14ac:dyDescent="0.25">
      <c r="A47" t="s">
        <v>77</v>
      </c>
      <c r="B47" t="s">
        <v>50</v>
      </c>
      <c r="C47">
        <v>4915642</v>
      </c>
      <c r="D47" t="s">
        <v>77</v>
      </c>
      <c r="E47" s="4" t="s">
        <v>216</v>
      </c>
      <c r="F47" t="s">
        <v>78</v>
      </c>
      <c r="G47" t="s">
        <v>79</v>
      </c>
      <c r="H47" s="3"/>
      <c r="J47" s="1"/>
      <c r="K47" s="2"/>
    </row>
    <row r="48" spans="1:22" x14ac:dyDescent="0.25">
      <c r="A48" t="s">
        <v>197</v>
      </c>
      <c r="B48" t="s">
        <v>50</v>
      </c>
      <c r="C48">
        <v>4915733</v>
      </c>
      <c r="D48" t="s">
        <v>42</v>
      </c>
      <c r="E48" s="4" t="s">
        <v>221</v>
      </c>
      <c r="F48" t="s">
        <v>198</v>
      </c>
      <c r="G48" t="s">
        <v>187</v>
      </c>
    </row>
    <row r="49" spans="1:11" x14ac:dyDescent="0.25">
      <c r="A49" t="s">
        <v>181</v>
      </c>
      <c r="B49" t="s">
        <v>50</v>
      </c>
      <c r="C49">
        <v>4915820</v>
      </c>
      <c r="D49" t="s">
        <v>181</v>
      </c>
      <c r="E49" s="4" t="s">
        <v>202</v>
      </c>
      <c r="F49" t="s">
        <v>66</v>
      </c>
      <c r="G49" t="s">
        <v>79</v>
      </c>
      <c r="H49" s="3"/>
      <c r="I49" s="4"/>
      <c r="J49" s="1"/>
      <c r="K49" s="2"/>
    </row>
    <row r="50" spans="1:11" x14ac:dyDescent="0.25">
      <c r="A50" t="s">
        <v>145</v>
      </c>
      <c r="B50" t="s">
        <v>50</v>
      </c>
      <c r="C50">
        <v>4916187</v>
      </c>
      <c r="D50" t="s">
        <v>20</v>
      </c>
      <c r="E50" s="4">
        <v>1</v>
      </c>
      <c r="F50" t="s">
        <v>146</v>
      </c>
      <c r="G50" t="s">
        <v>147</v>
      </c>
      <c r="H50" s="3"/>
      <c r="I50" s="4"/>
      <c r="J50" s="1"/>
      <c r="K50" s="2"/>
    </row>
    <row r="51" spans="1:11" x14ac:dyDescent="0.25">
      <c r="A51" t="s">
        <v>148</v>
      </c>
      <c r="B51" t="s">
        <v>50</v>
      </c>
      <c r="C51">
        <v>4916188</v>
      </c>
      <c r="D51" s="3" t="s">
        <v>21</v>
      </c>
      <c r="E51" s="4" t="s">
        <v>205</v>
      </c>
      <c r="F51" t="s">
        <v>146</v>
      </c>
      <c r="G51" t="s">
        <v>147</v>
      </c>
      <c r="H51" s="3"/>
      <c r="I51" s="4"/>
      <c r="J51" s="1"/>
      <c r="K51" s="2"/>
    </row>
    <row r="52" spans="1:11" x14ac:dyDescent="0.25">
      <c r="A52" t="s">
        <v>149</v>
      </c>
      <c r="B52" t="s">
        <v>50</v>
      </c>
      <c r="C52">
        <v>4916189</v>
      </c>
      <c r="D52" t="s">
        <v>22</v>
      </c>
      <c r="E52" s="4" t="s">
        <v>222</v>
      </c>
      <c r="F52" t="s">
        <v>146</v>
      </c>
      <c r="G52" t="s">
        <v>147</v>
      </c>
      <c r="H52" s="3"/>
      <c r="I52" s="4"/>
      <c r="J52" s="1"/>
      <c r="K52" s="2"/>
    </row>
    <row r="53" spans="1:11" x14ac:dyDescent="0.25">
      <c r="A53" t="s">
        <v>150</v>
      </c>
      <c r="B53" t="s">
        <v>50</v>
      </c>
      <c r="C53">
        <v>4916190</v>
      </c>
      <c r="D53" t="s">
        <v>23</v>
      </c>
      <c r="E53" s="4" t="s">
        <v>212</v>
      </c>
      <c r="F53" t="s">
        <v>146</v>
      </c>
      <c r="G53" t="s">
        <v>147</v>
      </c>
      <c r="H53" s="3"/>
      <c r="I53" s="4"/>
      <c r="J53" s="1"/>
      <c r="K53" s="2"/>
    </row>
    <row r="54" spans="1:11" x14ac:dyDescent="0.25">
      <c r="A54" t="s">
        <v>151</v>
      </c>
      <c r="B54" t="s">
        <v>50</v>
      </c>
      <c r="C54">
        <v>4916191</v>
      </c>
      <c r="D54" t="s">
        <v>24</v>
      </c>
      <c r="E54" s="4" t="s">
        <v>205</v>
      </c>
      <c r="F54" t="s">
        <v>146</v>
      </c>
      <c r="G54" t="s">
        <v>147</v>
      </c>
      <c r="H54" s="3"/>
      <c r="J54" s="1"/>
      <c r="K54" s="2"/>
    </row>
    <row r="55" spans="1:11" x14ac:dyDescent="0.25">
      <c r="A55" s="5" t="s">
        <v>194</v>
      </c>
      <c r="B55" t="s">
        <v>50</v>
      </c>
      <c r="C55" s="5">
        <v>4916413</v>
      </c>
      <c r="D55" t="s">
        <v>200</v>
      </c>
      <c r="E55" s="4" t="s">
        <v>223</v>
      </c>
      <c r="F55" t="s">
        <v>66</v>
      </c>
      <c r="G55" t="s">
        <v>67</v>
      </c>
      <c r="K55" s="1"/>
    </row>
    <row r="56" spans="1:11" x14ac:dyDescent="0.25">
      <c r="A56" t="s">
        <v>174</v>
      </c>
      <c r="B56" t="s">
        <v>50</v>
      </c>
      <c r="C56">
        <v>4916443</v>
      </c>
      <c r="D56" t="s">
        <v>35</v>
      </c>
      <c r="E56" s="4" t="s">
        <v>213</v>
      </c>
      <c r="F56" t="s">
        <v>175</v>
      </c>
      <c r="G56" t="s">
        <v>55</v>
      </c>
      <c r="H56" s="3"/>
      <c r="I56" s="4"/>
      <c r="J56" s="1"/>
      <c r="K56" s="2"/>
    </row>
    <row r="57" spans="1:11" x14ac:dyDescent="0.25">
      <c r="A57" t="s">
        <v>155</v>
      </c>
      <c r="B57" t="s">
        <v>50</v>
      </c>
      <c r="C57">
        <v>4916459</v>
      </c>
      <c r="D57" s="3" t="s">
        <v>27</v>
      </c>
      <c r="E57" s="4" t="s">
        <v>204</v>
      </c>
      <c r="F57" t="s">
        <v>146</v>
      </c>
      <c r="G57" t="s">
        <v>156</v>
      </c>
      <c r="H57" s="3"/>
      <c r="I57" s="4"/>
      <c r="J57" s="1"/>
      <c r="K57" s="2"/>
    </row>
    <row r="58" spans="1:11" x14ac:dyDescent="0.25">
      <c r="A58" t="s">
        <v>98</v>
      </c>
      <c r="B58" t="s">
        <v>50</v>
      </c>
      <c r="C58">
        <v>4916460</v>
      </c>
      <c r="D58" s="3" t="s">
        <v>8</v>
      </c>
      <c r="E58" s="4" t="s">
        <v>210</v>
      </c>
      <c r="F58" t="s">
        <v>99</v>
      </c>
      <c r="G58" t="s">
        <v>100</v>
      </c>
      <c r="H58" s="3"/>
      <c r="I58" s="4"/>
      <c r="J58" s="1"/>
      <c r="K58" s="2"/>
    </row>
    <row r="59" spans="1:11" x14ac:dyDescent="0.25">
      <c r="A59" t="s">
        <v>101</v>
      </c>
      <c r="B59" t="s">
        <v>50</v>
      </c>
      <c r="C59">
        <v>4916493</v>
      </c>
      <c r="D59" t="s">
        <v>101</v>
      </c>
      <c r="E59" s="4">
        <v>1</v>
      </c>
      <c r="F59" t="s">
        <v>102</v>
      </c>
      <c r="G59" t="s">
        <v>103</v>
      </c>
      <c r="H59" s="3"/>
      <c r="I59" s="4"/>
      <c r="J59" s="1"/>
      <c r="K59" s="2"/>
    </row>
    <row r="60" spans="1:11" x14ac:dyDescent="0.25">
      <c r="A60" t="s">
        <v>49</v>
      </c>
      <c r="B60" t="s">
        <v>50</v>
      </c>
      <c r="C60">
        <v>4916521</v>
      </c>
      <c r="D60" s="1" t="s">
        <v>0</v>
      </c>
      <c r="E60" s="4" t="s">
        <v>205</v>
      </c>
      <c r="F60" t="s">
        <v>51</v>
      </c>
      <c r="G60" t="s">
        <v>52</v>
      </c>
      <c r="H60" s="3"/>
      <c r="I60" s="4"/>
      <c r="J60" s="1"/>
    </row>
    <row r="61" spans="1:11" x14ac:dyDescent="0.25">
      <c r="A61" t="s">
        <v>81</v>
      </c>
      <c r="B61" t="s">
        <v>50</v>
      </c>
      <c r="C61">
        <v>4916623</v>
      </c>
      <c r="D61" t="s">
        <v>81</v>
      </c>
      <c r="E61" s="4" t="s">
        <v>210</v>
      </c>
      <c r="F61" t="s">
        <v>82</v>
      </c>
      <c r="G61" t="s">
        <v>83</v>
      </c>
      <c r="H61" s="3"/>
      <c r="J61" s="1"/>
      <c r="K61" s="2"/>
    </row>
    <row r="62" spans="1:11" x14ac:dyDescent="0.25">
      <c r="A62" t="s">
        <v>59</v>
      </c>
      <c r="B62" t="s">
        <v>50</v>
      </c>
      <c r="C62">
        <v>4916667</v>
      </c>
      <c r="D62" t="s">
        <v>60</v>
      </c>
      <c r="E62" s="4" t="s">
        <v>217</v>
      </c>
      <c r="F62" t="s">
        <v>61</v>
      </c>
      <c r="G62" t="s">
        <v>62</v>
      </c>
      <c r="H62" s="3"/>
      <c r="I62" s="4"/>
      <c r="J62" s="1"/>
      <c r="K62" s="2"/>
    </row>
    <row r="63" spans="1:11" x14ac:dyDescent="0.25">
      <c r="A63" t="s">
        <v>128</v>
      </c>
      <c r="B63" t="s">
        <v>50</v>
      </c>
      <c r="C63">
        <v>4916669</v>
      </c>
      <c r="D63" t="s">
        <v>14</v>
      </c>
      <c r="E63" s="4" t="s">
        <v>216</v>
      </c>
      <c r="F63" t="s">
        <v>124</v>
      </c>
      <c r="G63" t="s">
        <v>125</v>
      </c>
      <c r="H63" s="3"/>
      <c r="I63" s="4"/>
      <c r="J63" s="1"/>
      <c r="K63" s="2"/>
    </row>
    <row r="64" spans="1:11" x14ac:dyDescent="0.25">
      <c r="A64" t="s">
        <v>111</v>
      </c>
      <c r="B64" t="s">
        <v>112</v>
      </c>
      <c r="C64" s="5" t="s">
        <v>113</v>
      </c>
      <c r="D64" t="s">
        <v>111</v>
      </c>
      <c r="E64" s="4" t="s">
        <v>221</v>
      </c>
      <c r="F64" t="s">
        <v>113</v>
      </c>
      <c r="G64" t="s">
        <v>113</v>
      </c>
      <c r="H64" s="3"/>
      <c r="I64" s="4"/>
      <c r="J64" s="1"/>
      <c r="K64" s="2"/>
    </row>
    <row r="65" spans="1:11" x14ac:dyDescent="0.25">
      <c r="A65" t="s">
        <v>129</v>
      </c>
      <c r="B65" t="s">
        <v>50</v>
      </c>
      <c r="C65">
        <v>22203852</v>
      </c>
      <c r="D65" t="s">
        <v>15</v>
      </c>
      <c r="E65" s="4" t="s">
        <v>218</v>
      </c>
      <c r="F65" t="s">
        <v>124</v>
      </c>
      <c r="G65" t="s">
        <v>125</v>
      </c>
      <c r="H65" s="3"/>
      <c r="J65" s="1"/>
      <c r="K65" s="2"/>
    </row>
  </sheetData>
  <sortState xmlns:xlrd2="http://schemas.microsoft.com/office/spreadsheetml/2017/richdata2" ref="H2:M66">
    <sortCondition ref="J2:J66"/>
  </sortState>
  <conditionalFormatting sqref="D38">
    <cfRule type="duplicateValues" dxfId="4" priority="1"/>
  </conditionalFormatting>
  <conditionalFormatting sqref="H25:H59 S34 S32 S26:S30 H10:H13 H15:H23 H2:H3 H5:H8">
    <cfRule type="duplicateValues" dxfId="3" priority="3"/>
  </conditionalFormatting>
  <conditionalFormatting sqref="H39 H20 H10:H13 H15:H18 H2:H3 H5 H7:H8">
    <cfRule type="duplicateValues" dxfId="2" priority="2"/>
  </conditionalFormatting>
  <conditionalFormatting sqref="J3:J59 U34 U32 U26:U30">
    <cfRule type="duplicateValues" dxfId="1" priority="11"/>
  </conditionalFormatting>
  <conditionalFormatting sqref="J40 J21 J3 J5:J19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additional_table1</vt:lpstr>
      <vt:lpstr>genes_sporulation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Urša Miklavčič</dc:creator>
  <cp:lastModifiedBy>Urša Miklavčič</cp:lastModifiedBy>
  <dcterms:created xsi:type="dcterms:W3CDTF">2025-09-19T07:38:52Z</dcterms:created>
  <dcterms:modified xsi:type="dcterms:W3CDTF">2025-09-22T13:03:31Z</dcterms:modified>
</cp:coreProperties>
</file>