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0_PhD\01_poglavja\"/>
    </mc:Choice>
  </mc:AlternateContent>
  <xr:revisionPtr revIDLastSave="0" documentId="13_ncr:1_{B0624B00-5694-4867-9612-5E320692FD14}" xr6:coauthVersionLast="47" xr6:coauthVersionMax="47" xr10:uidLastSave="{00000000-0000-0000-0000-000000000000}"/>
  <bookViews>
    <workbookView xWindow="-120" yWindow="-120" windowWidth="38640" windowHeight="21120" activeTab="1" xr2:uid="{DB19BBB1-5072-4616-B9F3-8CA8F5F54A58}"/>
  </bookViews>
  <sheets>
    <sheet name="participants_info" sheetId="4" r:id="rId1"/>
    <sheet name="sequencing_table" sheetId="3" r:id="rId2"/>
    <sheet name="genes_sporulation" sheetId="2" r:id="rId3"/>
    <sheet name="etoh_h_comparison" sheetId="5" r:id="rId4"/>
    <sheet name="CFU_C_saudiense" sheetId="6" r:id="rId5"/>
    <sheet name="MALDI_C_saudisens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7" l="1"/>
  <c r="M6" i="7"/>
  <c r="M3" i="7"/>
  <c r="M4" i="7"/>
  <c r="M5" i="7"/>
  <c r="M2" i="7"/>
  <c r="L6" i="7"/>
  <c r="L3" i="7"/>
  <c r="L4" i="7"/>
  <c r="L5" i="7"/>
  <c r="L2" i="7"/>
  <c r="K6" i="7"/>
  <c r="K3" i="7"/>
  <c r="K4" i="7"/>
  <c r="K5" i="7"/>
  <c r="K2" i="7"/>
  <c r="J5" i="7"/>
  <c r="J4" i="7"/>
  <c r="J3" i="7"/>
  <c r="J2" i="7"/>
  <c r="J6" i="7"/>
  <c r="D7" i="6" l="1"/>
  <c r="C7" i="6"/>
  <c r="B7" i="6"/>
</calcChain>
</file>

<file path=xl/sharedStrings.xml><?xml version="1.0" encoding="utf-8"?>
<sst xmlns="http://schemas.openxmlformats.org/spreadsheetml/2006/main" count="913" uniqueCount="391">
  <si>
    <t>abrB</t>
  </si>
  <si>
    <t>asrC</t>
  </si>
  <si>
    <t>bltD</t>
  </si>
  <si>
    <t>cotCB</t>
  </si>
  <si>
    <t>dacF</t>
  </si>
  <si>
    <t>dapG</t>
  </si>
  <si>
    <t>dnaA</t>
  </si>
  <si>
    <t>ftsQ</t>
  </si>
  <si>
    <t>gpr</t>
  </si>
  <si>
    <t>pdp</t>
  </si>
  <si>
    <t>sepF</t>
  </si>
  <si>
    <t>sigE</t>
  </si>
  <si>
    <t>sigF</t>
  </si>
  <si>
    <t>sigG</t>
  </si>
  <si>
    <t>sigH</t>
  </si>
  <si>
    <t>sigK</t>
  </si>
  <si>
    <t>spmA</t>
  </si>
  <si>
    <t>spmB</t>
  </si>
  <si>
    <t>spo0A</t>
  </si>
  <si>
    <t>spoIIGA</t>
  </si>
  <si>
    <t>spoIIIAA</t>
  </si>
  <si>
    <t>spoIIIAB</t>
  </si>
  <si>
    <t>spoIIIAC</t>
  </si>
  <si>
    <t>spoIIIAD</t>
  </si>
  <si>
    <t>spoIIIAE</t>
  </si>
  <si>
    <t>spoIIIAG</t>
  </si>
  <si>
    <t>spoIIIAH</t>
  </si>
  <si>
    <t>spoIIP</t>
  </si>
  <si>
    <t>spoIIR</t>
  </si>
  <si>
    <t>spoIVA</t>
  </si>
  <si>
    <t>spoIVB</t>
  </si>
  <si>
    <t>spoIVFB</t>
  </si>
  <si>
    <t>spoVAD</t>
  </si>
  <si>
    <t>spoVE</t>
  </si>
  <si>
    <t>spoVT</t>
  </si>
  <si>
    <t>trxB</t>
  </si>
  <si>
    <t>walR</t>
  </si>
  <si>
    <t>yabG</t>
  </si>
  <si>
    <t>ykvI</t>
  </si>
  <si>
    <t>ylxY</t>
  </si>
  <si>
    <t>ytxC</t>
  </si>
  <si>
    <t>yyaC</t>
  </si>
  <si>
    <t>zupT</t>
  </si>
  <si>
    <t>locus_tag</t>
  </si>
  <si>
    <t>organism</t>
  </si>
  <si>
    <t>gene_id</t>
  </si>
  <si>
    <t>gene_name</t>
  </si>
  <si>
    <t>description</t>
  </si>
  <si>
    <t>location</t>
  </si>
  <si>
    <t>CD630_RS16605</t>
  </si>
  <si>
    <t>Clostridioides difficile 630</t>
  </si>
  <si>
    <t>helix-turn-helix</t>
  </si>
  <si>
    <t>transcriptional</t>
  </si>
  <si>
    <t>CD630_RS12080</t>
  </si>
  <si>
    <t>sulfite</t>
  </si>
  <si>
    <t>reductase</t>
  </si>
  <si>
    <t>CD630_RS06745</t>
  </si>
  <si>
    <t>GNAT</t>
  </si>
  <si>
    <t>family</t>
  </si>
  <si>
    <t>CD630_RS00540</t>
  </si>
  <si>
    <t>rlmB</t>
  </si>
  <si>
    <t>23S</t>
  </si>
  <si>
    <t>rRNA</t>
  </si>
  <si>
    <t>CD630_RS04990</t>
  </si>
  <si>
    <t>SPFH/Band</t>
  </si>
  <si>
    <t>7/PHB</t>
  </si>
  <si>
    <t>sporulation</t>
  </si>
  <si>
    <t>integral</t>
  </si>
  <si>
    <t>CD630_RS08555</t>
  </si>
  <si>
    <t>manganese</t>
  </si>
  <si>
    <t>catalase</t>
  </si>
  <si>
    <t>CD630_RS11130</t>
  </si>
  <si>
    <t>MurR/RpiR</t>
  </si>
  <si>
    <t>CD630_RS11435</t>
  </si>
  <si>
    <t>MATE</t>
  </si>
  <si>
    <t>CD630_RS13885</t>
  </si>
  <si>
    <t>YicC</t>
  </si>
  <si>
    <t>CD630_RS18585</t>
  </si>
  <si>
    <t>hypothetical</t>
  </si>
  <si>
    <t>protein</t>
  </si>
  <si>
    <t>CD630_RS03565</t>
  </si>
  <si>
    <t>CD630_RS13415</t>
  </si>
  <si>
    <t>D-alanyl-D-alanine</t>
  </si>
  <si>
    <t>carboxypeptidase</t>
  </si>
  <si>
    <t>CD630_RS07160</t>
  </si>
  <si>
    <t>CD630_RS07320</t>
  </si>
  <si>
    <t>aspartate</t>
  </si>
  <si>
    <t>kinase</t>
  </si>
  <si>
    <t>CD630_RS00005</t>
  </si>
  <si>
    <t>chromosomal</t>
  </si>
  <si>
    <t>replication</t>
  </si>
  <si>
    <t>CD630_RS15860</t>
  </si>
  <si>
    <t>dpsA</t>
  </si>
  <si>
    <t>dipicolinate</t>
  </si>
  <si>
    <t>synthase</t>
  </si>
  <si>
    <t>CD630_RS14185</t>
  </si>
  <si>
    <t>FtsQ-type</t>
  </si>
  <si>
    <t>POTRA</t>
  </si>
  <si>
    <t>CD630_RS13275</t>
  </si>
  <si>
    <t>GPR</t>
  </si>
  <si>
    <t>endopeptidase</t>
  </si>
  <si>
    <t>CD630_RS00385</t>
  </si>
  <si>
    <t>DNA</t>
  </si>
  <si>
    <t>methylase</t>
  </si>
  <si>
    <t>CD630_RS19535</t>
  </si>
  <si>
    <t>noc</t>
  </si>
  <si>
    <t>nucleoid</t>
  </si>
  <si>
    <t>occlusion</t>
  </si>
  <si>
    <t>CD630_RS06810</t>
  </si>
  <si>
    <t>pyrimidine-nucleoside</t>
  </si>
  <si>
    <t>phosphorylase</t>
  </si>
  <si>
    <t>CSBG_02367</t>
  </si>
  <si>
    <t xml:space="preserve">Clostridium sp. </t>
  </si>
  <si>
    <t>NA</t>
  </si>
  <si>
    <t>CD630_RS07380</t>
  </si>
  <si>
    <t>adenylosuccinate</t>
  </si>
  <si>
    <t>lyase</t>
  </si>
  <si>
    <t>CD630_RS00585</t>
  </si>
  <si>
    <t>50S</t>
  </si>
  <si>
    <t>ribosomal</t>
  </si>
  <si>
    <t>CD630_RS14045</t>
  </si>
  <si>
    <t>cell</t>
  </si>
  <si>
    <t>division</t>
  </si>
  <si>
    <t>CD630_RS14150</t>
  </si>
  <si>
    <t>RNA</t>
  </si>
  <si>
    <t>polymerase</t>
  </si>
  <si>
    <t>CD630_RS04450</t>
  </si>
  <si>
    <t>CD630_RS14145</t>
  </si>
  <si>
    <t>CD630_RS00550</t>
  </si>
  <si>
    <t>CD630_12300</t>
  </si>
  <si>
    <t>CD630_RS18975</t>
  </si>
  <si>
    <t>DUF3794</t>
  </si>
  <si>
    <t>domain-containing</t>
  </si>
  <si>
    <t>CD630_RS08895</t>
  </si>
  <si>
    <t>superoxide</t>
  </si>
  <si>
    <t>dismutase</t>
  </si>
  <si>
    <t>CD630_RS18825</t>
  </si>
  <si>
    <t>spore</t>
  </si>
  <si>
    <t>maturation</t>
  </si>
  <si>
    <t>CD630_RS18820</t>
  </si>
  <si>
    <t>CD630_RS06755</t>
  </si>
  <si>
    <t>transcription</t>
  </si>
  <si>
    <t>CD630_RS14155</t>
  </si>
  <si>
    <t>sigma-E</t>
  </si>
  <si>
    <t>processing</t>
  </si>
  <si>
    <t>CD630_RS06645</t>
  </si>
  <si>
    <t>stage</t>
  </si>
  <si>
    <t>III</t>
  </si>
  <si>
    <t>CD630_RS06650</t>
  </si>
  <si>
    <t>CD630_RS06655</t>
  </si>
  <si>
    <t>CD630_RS06660</t>
  </si>
  <si>
    <t>CD630_RS06665</t>
  </si>
  <si>
    <t>CD630_RS06675</t>
  </si>
  <si>
    <t>CD630_RS06680</t>
  </si>
  <si>
    <t>SpoIIIAH-like</t>
  </si>
  <si>
    <t>CD630_RS13270</t>
  </si>
  <si>
    <t>II</t>
  </si>
  <si>
    <t>CD630_RS18960</t>
  </si>
  <si>
    <t>CD630_RS14080</t>
  </si>
  <si>
    <t>IV</t>
  </si>
  <si>
    <t>CD630_RS06750</t>
  </si>
  <si>
    <t>peptidase</t>
  </si>
  <si>
    <t>S55</t>
  </si>
  <si>
    <t>BSU_27970</t>
  </si>
  <si>
    <t>Bacillus subtilis subsp. subtilis str. 168</t>
  </si>
  <si>
    <t>membrane</t>
  </si>
  <si>
    <t>metalloprotease</t>
  </si>
  <si>
    <t>CD630_RS04460</t>
  </si>
  <si>
    <t>V</t>
  </si>
  <si>
    <t>CD630_RS14195</t>
  </si>
  <si>
    <t>CD630_RS18610</t>
  </si>
  <si>
    <t>CD630_RS07325</t>
  </si>
  <si>
    <t>Clp</t>
  </si>
  <si>
    <t>protease</t>
  </si>
  <si>
    <t>CD630_RS09210</t>
  </si>
  <si>
    <t>thioredoxin-disulfide</t>
  </si>
  <si>
    <t>BSU_40410</t>
  </si>
  <si>
    <t>Bacillus subtilis 168</t>
  </si>
  <si>
    <t>two-component</t>
  </si>
  <si>
    <t>response</t>
  </si>
  <si>
    <t>CD630_RS18985</t>
  </si>
  <si>
    <t>CD630_RS13130</t>
  </si>
  <si>
    <t>BSU_01690</t>
  </si>
  <si>
    <t>murR</t>
  </si>
  <si>
    <t>regulator</t>
  </si>
  <si>
    <t>BSU_13710</t>
  </si>
  <si>
    <t>putative</t>
  </si>
  <si>
    <t>transporter</t>
  </si>
  <si>
    <t>BSU_15030</t>
  </si>
  <si>
    <t>spoVV</t>
  </si>
  <si>
    <t>dipicolinic</t>
  </si>
  <si>
    <t>acid</t>
  </si>
  <si>
    <t>BSU_16700</t>
  </si>
  <si>
    <t>sugar</t>
  </si>
  <si>
    <t>CD630_RS12285</t>
  </si>
  <si>
    <t>CD630_RS03425</t>
  </si>
  <si>
    <t>CD630_RS01160</t>
  </si>
  <si>
    <t>CD630_RS06075</t>
  </si>
  <si>
    <t>zinc</t>
  </si>
  <si>
    <t>weight</t>
  </si>
  <si>
    <t>ytvl</t>
  </si>
  <si>
    <t>clp</t>
  </si>
  <si>
    <t>0.82</t>
  </si>
  <si>
    <t>0.95</t>
  </si>
  <si>
    <t>0.93</t>
  </si>
  <si>
    <t>0.96</t>
  </si>
  <si>
    <t>0.99</t>
  </si>
  <si>
    <t>0.89</t>
  </si>
  <si>
    <t>0.98</t>
  </si>
  <si>
    <t>0.78</t>
  </si>
  <si>
    <t>0.92</t>
  </si>
  <si>
    <t>0.85</t>
  </si>
  <si>
    <t>0.83</t>
  </si>
  <si>
    <t>0.81</t>
  </si>
  <si>
    <t>0.87</t>
  </si>
  <si>
    <t>0.76</t>
  </si>
  <si>
    <t>0.94</t>
  </si>
  <si>
    <t>0.97</t>
  </si>
  <si>
    <t>0.91</t>
  </si>
  <si>
    <t>0.84</t>
  </si>
  <si>
    <t>0.88</t>
  </si>
  <si>
    <t>0.79</t>
  </si>
  <si>
    <t>0.86</t>
  </si>
  <si>
    <t>0.77</t>
  </si>
  <si>
    <t>0.90</t>
  </si>
  <si>
    <t>0.80</t>
  </si>
  <si>
    <t>Comparison of isolation protocols</t>
  </si>
  <si>
    <t xml:space="preserve">Sequencing platform </t>
  </si>
  <si>
    <t xml:space="preserve">Type of sequencing </t>
  </si>
  <si>
    <t>Q5</t>
  </si>
  <si>
    <t> 90515.8</t>
  </si>
  <si>
    <t> 25006.03</t>
  </si>
  <si>
    <t>270662.7</t>
  </si>
  <si>
    <t>PRJNA887005</t>
  </si>
  <si>
    <t>Data available upon request</t>
  </si>
  <si>
    <t>PRJNA1124620 </t>
  </si>
  <si>
    <t>Phi29</t>
  </si>
  <si>
    <t xml:space="preserve">Participant 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</si>
  <si>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</si>
  <si>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</si>
  <si>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</si>
  <si>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</si>
  <si>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</si>
  <si>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</si>
  <si>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</si>
  <si>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</si>
  <si>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</si>
  <si>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Age </t>
  </si>
  <si>
    <t>regular</t>
  </si>
  <si>
    <t>omega3, vitaminD, complex B. Q10, probiotics</t>
  </si>
  <si>
    <t>BMI</t>
  </si>
  <si>
    <t xml:space="preserve">Living environment </t>
  </si>
  <si>
    <t>urban/flat</t>
  </si>
  <si>
    <t>urban/house</t>
  </si>
  <si>
    <t>urban/NA</t>
  </si>
  <si>
    <t>Diet</t>
  </si>
  <si>
    <t xml:space="preserve">omnivore </t>
  </si>
  <si>
    <t xml:space="preserve">lactose-free omnivore </t>
  </si>
  <si>
    <t xml:space="preserve">Regular supplements </t>
  </si>
  <si>
    <t xml:space="preserve">omega3 </t>
  </si>
  <si>
    <t>protein powder</t>
  </si>
  <si>
    <t>-</t>
  </si>
  <si>
    <t xml:space="preserve">Digestion </t>
  </si>
  <si>
    <t xml:space="preserve">  Phylum                </t>
  </si>
  <si>
    <t>Bacillota</t>
  </si>
  <si>
    <t>0.453</t>
  </si>
  <si>
    <t>Bacteroidota</t>
  </si>
  <si>
    <t>0.341</t>
  </si>
  <si>
    <t>Actinomycetota</t>
  </si>
  <si>
    <t>0.0362</t>
  </si>
  <si>
    <t>Pseudomonadota</t>
  </si>
  <si>
    <t>0.0822</t>
  </si>
  <si>
    <t>Verrucomicrobiota</t>
  </si>
  <si>
    <t>0.0456</t>
  </si>
  <si>
    <t>unclassified Bacteria</t>
  </si>
  <si>
    <t>0.0284</t>
  </si>
  <si>
    <t>Other</t>
  </si>
  <si>
    <t>0.0140</t>
  </si>
  <si>
    <t xml:space="preserve">Relative abundance </t>
  </si>
  <si>
    <t xml:space="preserve">Stool </t>
  </si>
  <si>
    <t>Heat shock 30 min</t>
  </si>
  <si>
    <t>0.935</t>
  </si>
  <si>
    <t>0.00335</t>
  </si>
  <si>
    <t>0.0436</t>
  </si>
  <si>
    <t>0.0089</t>
  </si>
  <si>
    <t>0.00476</t>
  </si>
  <si>
    <t>0.00443</t>
  </si>
  <si>
    <t>0.0004</t>
  </si>
  <si>
    <t xml:space="preserve">0.946    </t>
  </si>
  <si>
    <t>0.00269</t>
  </si>
  <si>
    <t>0.0307</t>
  </si>
  <si>
    <t>0.0122</t>
  </si>
  <si>
    <t>0.00446</t>
  </si>
  <si>
    <t>0.00357</t>
  </si>
  <si>
    <t>0.0000593</t>
  </si>
  <si>
    <t>Heat shock 60 min</t>
  </si>
  <si>
    <t xml:space="preserve"> 0.943</t>
  </si>
  <si>
    <t xml:space="preserve"> 0.0000536</t>
  </si>
  <si>
    <t>0.0439</t>
  </si>
  <si>
    <t>0.0109</t>
  </si>
  <si>
    <t>0.000404</t>
  </si>
  <si>
    <t>0.00219</t>
  </si>
  <si>
    <t>0.0000107</t>
  </si>
  <si>
    <t>0.902</t>
  </si>
  <si>
    <t>0.0000182</t>
  </si>
  <si>
    <t>0.0731</t>
  </si>
  <si>
    <t>0.0048</t>
  </si>
  <si>
    <t>0.0000909</t>
  </si>
  <si>
    <t>0.0198</t>
  </si>
  <si>
    <t>EtOH 70%</t>
  </si>
  <si>
    <t>EtOH 100%</t>
  </si>
  <si>
    <t>NR</t>
  </si>
  <si>
    <t>H005</t>
  </si>
  <si>
    <t>H007</t>
  </si>
  <si>
    <t>H009</t>
  </si>
  <si>
    <t>NC</t>
  </si>
  <si>
    <t>ml</t>
  </si>
  <si>
    <t>CFU/ml</t>
  </si>
  <si>
    <t xml:space="preserve">CFU/ml </t>
  </si>
  <si>
    <t>Plating volume</t>
  </si>
  <si>
    <t>Original sample</t>
  </si>
  <si>
    <t>Score [log]</t>
  </si>
  <si>
    <t xml:space="preserve">Isolate number </t>
  </si>
  <si>
    <t xml:space="preserve">Detected species </t>
  </si>
  <si>
    <t>Clostridium saudiense</t>
  </si>
  <si>
    <t>Clostridium paraputrificum</t>
  </si>
  <si>
    <t>Intestinibacter bartletti</t>
  </si>
  <si>
    <t>No organism identification possible</t>
  </si>
  <si>
    <t>No growth after picking</t>
  </si>
  <si>
    <t xml:space="preserve">H009 </t>
  </si>
  <si>
    <t xml:space="preserve">All samples </t>
  </si>
  <si>
    <t>Sequenced</t>
  </si>
  <si>
    <t xml:space="preserve">Illumina </t>
  </si>
  <si>
    <t>Illumina + Nanopore</t>
  </si>
  <si>
    <t xml:space="preserve">Detected species (MALDI) </t>
  </si>
  <si>
    <t xml:space="preserve">Detected species (pubMLST) </t>
  </si>
  <si>
    <t xml:space="preserve">Clostridium saudiense + Clostridium paraputrificium </t>
  </si>
  <si>
    <t>ni rasti</t>
  </si>
  <si>
    <t xml:space="preserve">ni rasti </t>
  </si>
  <si>
    <t>Frezzer</t>
  </si>
  <si>
    <t>Yes</t>
  </si>
  <si>
    <t>Illumina MiSeq</t>
  </si>
  <si>
    <t>BGI DNBSeq</t>
  </si>
  <si>
    <t>44/45</t>
  </si>
  <si>
    <t xml:space="preserve">Number of samples/ sucessfully seqenced </t>
  </si>
  <si>
    <t xml:space="preserve">Read length </t>
  </si>
  <si>
    <t xml:space="preserve">Mean number of reads per sample </t>
  </si>
  <si>
    <t xml:space="preserve">Filtering parameters </t>
  </si>
  <si>
    <t xml:space="preserve">Project accession </t>
  </si>
  <si>
    <t>Oxford Nanopore MinION</t>
  </si>
  <si>
    <t>Illumina NextSeq2000</t>
  </si>
  <si>
    <t xml:space="preserve">Longitudinal study of gut microbiota and ethanol-treated stool samples </t>
  </si>
  <si>
    <t xml:space="preserve">Shotgun metagenomic sequencing </t>
  </si>
  <si>
    <t>Comaprison of isolate genomes</t>
  </si>
  <si>
    <t xml:space="preserve">Whole genome sequencing </t>
  </si>
  <si>
    <t>Polymerase</t>
  </si>
  <si>
    <t>Kapa HiFi</t>
  </si>
  <si>
    <t>36/36</t>
  </si>
  <si>
    <t>Comparison of ethanol and heat shock in elimination of vegetative cells from stool samples and subsequent cultivation of sporeformers</t>
  </si>
  <si>
    <t>Optimization of pre-treatment for DNA isolation from spore-forming bacteria in stool samples</t>
  </si>
  <si>
    <t>28/28</t>
  </si>
  <si>
    <t xml:space="preserve">Negative control </t>
  </si>
  <si>
    <t>Not sequenced due to low DNA concetration</t>
  </si>
  <si>
    <t>34/34</t>
  </si>
  <si>
    <t xml:space="preserve">Not included in experiment, control for experiment was untreated stool sample </t>
  </si>
  <si>
    <t>Not sequenced due to low DNA concentration, controls were untreated stool sample and stool sample treated with ethanol and heat shock, but not EMA</t>
  </si>
  <si>
    <t xml:space="preserve">Not sequenced, as it was sequenced with amplicon sequencing </t>
  </si>
  <si>
    <t>Amplicon sequencing (V3-V4 region of the 16S rRNA gene)</t>
  </si>
  <si>
    <t xml:space="preserve">Indexing </t>
  </si>
  <si>
    <t>Rapid Barcoding Kit 96 SQK-RBK110.96</t>
  </si>
  <si>
    <t>NEBNext Ultra II FS DNA Library Prep Kit for Illumina</t>
  </si>
  <si>
    <t>16S Metagenomic Sequencing Library Preparation protocol</t>
  </si>
  <si>
    <t>MGI Sequencing Prep Kit</t>
  </si>
  <si>
    <t>Ligation</t>
  </si>
  <si>
    <t>236/230</t>
  </si>
  <si>
    <t>201/234</t>
  </si>
  <si>
    <t>Not applicable</t>
  </si>
  <si>
    <t>Paired-end 300 bp</t>
  </si>
  <si>
    <t xml:space="preserve">Paired-end 150 bp </t>
  </si>
  <si>
    <t xml:space="preserve">N50 1.22 kbp </t>
  </si>
  <si>
    <t>50 000 000</t>
  </si>
  <si>
    <t>Q &gt; 10, read length &gt; 1000 bp</t>
  </si>
  <si>
    <t>98,5% /50,5% (microbiota / sporobiota)</t>
  </si>
  <si>
    <t xml:space="preserve">MiSeq SOP mothur, with rarefaction to: </t>
  </si>
  <si>
    <t>50 000, remove OTUs &lt; 10 reads</t>
  </si>
  <si>
    <t>10 000, remove OTUs &lt; 10 reads</t>
  </si>
  <si>
    <t>150 000, remove OTUs &lt; 62 reads</t>
  </si>
  <si>
    <t xml:space="preserve">Experiment </t>
  </si>
  <si>
    <t xml:space="preserve">Average % reads removed after filtering per sample </t>
  </si>
  <si>
    <t>Trimmomatic ILLUMINACLIP:NEBPE-PE.fa:2:30:10, LEADING:10, TRAILING:10, SLIDINGWINDOW:4:20, MINLEN:40</t>
  </si>
  <si>
    <t>&lt; 10% uncertain bases, Q &gt; 20, more than 90% identity to host (GRCh38)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</si>
</sst>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E+00"/>
  </numFmts>
  <fonts count="11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sz val="10"/>
      <color rgb="FFC5C8C6"/>
      <name val="Consolas"/>
      <family val="3"/>
      <charset val="238"/>
    </font>
    <font>
      <sz val="10"/>
      <color rgb="FF949494"/>
      <name val="Consolas"/>
      <family val="3"/>
      <charset val="238"/>
    </font>
    <font>
      <sz val="10"/>
      <color rgb="FFBCBCBC"/>
      <name val="Consolas"/>
      <family val="3"/>
      <charset val="238"/>
    </font>
    <font>
      <sz val="1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" fontId="3" fillId="0" borderId="0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0" fillId="0" borderId="0" xfId="0" applyFill="1"/>
    <xf numFmtId="0" fontId="8" fillId="0" borderId="0" xfId="0" applyFont="1" applyFill="1" applyAlignment="1">
      <alignment vertical="center"/>
    </xf>
    <xf numFmtId="0" fontId="8" fillId="0" borderId="0" xfId="0" applyFont="1" applyFill="1"/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/>
    <xf numFmtId="0" fontId="9" fillId="0" borderId="1" xfId="0" applyFont="1" applyBorder="1"/>
    <xf numFmtId="0" fontId="9" fillId="0" borderId="3" xfId="0" applyFont="1" applyFill="1" applyBorder="1"/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/>
    <xf numFmtId="0" fontId="8" fillId="0" borderId="1" xfId="0" applyFont="1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2" fontId="0" fillId="0" borderId="0" xfId="0" applyNumberFormat="1" applyFill="1" applyBorder="1"/>
    <xf numFmtId="0" fontId="10" fillId="0" borderId="0" xfId="0" applyFont="1" applyFill="1" applyBorder="1"/>
    <xf numFmtId="0" fontId="10" fillId="0" borderId="1" xfId="0" applyFont="1" applyFill="1" applyBorder="1"/>
    <xf numFmtId="0" fontId="10" fillId="0" borderId="0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0" xfId="0" applyBorder="1" applyAlignment="1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9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1" fontId="4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E0B0-CF68-43D8-A24E-A8B21C4C0ADF}">
  <dimension ref="A1:H10"/>
  <sheetViews>
    <sheetView workbookViewId="0">
      <selection sqref="A1:G10"/>
    </sheetView>
  </sheetViews>
  <sheetFormatPr defaultRowHeight="15" x14ac:dyDescent="0.25"/>
  <cols>
    <col min="1" max="1" width="9.140625" bestFit="1" customWidth="1"/>
    <col min="2" max="2" width="5.5703125" customWidth="1"/>
    <col min="3" max="3" width="5.28515625" customWidth="1"/>
    <col min="4" max="4" width="12.42578125" bestFit="1" customWidth="1"/>
    <col min="5" max="5" width="11.42578125" customWidth="1"/>
    <col min="6" max="6" width="23.5703125" customWidth="1"/>
  </cols>
  <sheetData>
    <row r="1" spans="1:8" ht="30.75" customHeight="1" x14ac:dyDescent="0.25">
      <c r="A1" s="9" t="s">
        <v>237</v>
      </c>
      <c r="B1" s="9" t="s">
        <v>247</v>
      </c>
      <c r="C1" s="9" t="s">
        <v>250</v>
      </c>
      <c r="D1" s="9" t="s">
        <v>251</v>
      </c>
      <c r="E1" s="9" t="s">
        <v>255</v>
      </c>
      <c r="F1" s="9" t="s">
        <v>258</v>
      </c>
      <c r="G1" s="9" t="s">
        <v>262</v>
      </c>
    </row>
    <row r="2" spans="1:8" x14ac:dyDescent="0.25">
      <c r="A2" s="10" t="s">
        <v>238</v>
      </c>
      <c r="B2" s="10">
        <v>34</v>
      </c>
      <c r="C2" s="11">
        <v>22.605591909577633</v>
      </c>
      <c r="D2" s="10" t="s">
        <v>252</v>
      </c>
      <c r="E2" s="10" t="s">
        <v>256</v>
      </c>
      <c r="F2" s="10" t="s">
        <v>259</v>
      </c>
      <c r="G2" s="10" t="s">
        <v>248</v>
      </c>
      <c r="H2" s="8"/>
    </row>
    <row r="3" spans="1:8" x14ac:dyDescent="0.25">
      <c r="A3" s="10" t="s">
        <v>239</v>
      </c>
      <c r="B3" s="10">
        <v>25</v>
      </c>
      <c r="C3" s="11">
        <v>22.204081632653061</v>
      </c>
      <c r="D3" s="10" t="s">
        <v>252</v>
      </c>
      <c r="E3" s="10" t="s">
        <v>256</v>
      </c>
      <c r="F3" s="10" t="s">
        <v>261</v>
      </c>
      <c r="G3" s="10" t="s">
        <v>248</v>
      </c>
    </row>
    <row r="4" spans="1:8" x14ac:dyDescent="0.25">
      <c r="A4" s="10" t="s">
        <v>240</v>
      </c>
      <c r="B4" s="10">
        <v>27</v>
      </c>
      <c r="C4" s="11">
        <v>23.848030481620569</v>
      </c>
      <c r="D4" s="10" t="s">
        <v>252</v>
      </c>
      <c r="E4" s="10" t="s">
        <v>256</v>
      </c>
      <c r="F4" s="10" t="s">
        <v>260</v>
      </c>
      <c r="G4" s="10" t="s">
        <v>248</v>
      </c>
    </row>
    <row r="5" spans="1:8" x14ac:dyDescent="0.25">
      <c r="A5" s="10" t="s">
        <v>241</v>
      </c>
      <c r="B5" s="10">
        <v>37</v>
      </c>
      <c r="C5" s="11">
        <v>23.510204081632654</v>
      </c>
      <c r="D5" s="10" t="s">
        <v>252</v>
      </c>
      <c r="E5" s="10" t="s">
        <v>256</v>
      </c>
      <c r="F5" s="10" t="s">
        <v>261</v>
      </c>
      <c r="G5" s="10" t="s">
        <v>248</v>
      </c>
    </row>
    <row r="6" spans="1:8" x14ac:dyDescent="0.25">
      <c r="A6" s="10" t="s">
        <v>242</v>
      </c>
      <c r="B6" s="10">
        <v>28</v>
      </c>
      <c r="C6" s="11">
        <v>23.12406058503873</v>
      </c>
      <c r="D6" s="10" t="s">
        <v>252</v>
      </c>
      <c r="E6" s="10" t="s">
        <v>256</v>
      </c>
      <c r="F6" s="10" t="s">
        <v>261</v>
      </c>
      <c r="G6" s="10" t="s">
        <v>248</v>
      </c>
    </row>
    <row r="7" spans="1:8" x14ac:dyDescent="0.25">
      <c r="A7" s="10" t="s">
        <v>243</v>
      </c>
      <c r="B7" s="10">
        <v>27</v>
      </c>
      <c r="C7" s="11">
        <v>32.508521651306651</v>
      </c>
      <c r="D7" s="10" t="s">
        <v>252</v>
      </c>
      <c r="E7" s="10" t="s">
        <v>256</v>
      </c>
      <c r="F7" s="10" t="s">
        <v>261</v>
      </c>
      <c r="G7" s="10" t="s">
        <v>248</v>
      </c>
    </row>
    <row r="8" spans="1:8" x14ac:dyDescent="0.25">
      <c r="A8" s="10" t="s">
        <v>244</v>
      </c>
      <c r="B8" s="10">
        <v>27</v>
      </c>
      <c r="C8" s="11">
        <v>26.038781163434905</v>
      </c>
      <c r="D8" s="10" t="s">
        <v>253</v>
      </c>
      <c r="E8" s="10" t="s">
        <v>256</v>
      </c>
      <c r="F8" s="10" t="s">
        <v>260</v>
      </c>
      <c r="G8" s="10" t="s">
        <v>248</v>
      </c>
    </row>
    <row r="9" spans="1:8" x14ac:dyDescent="0.25">
      <c r="A9" s="10" t="s">
        <v>245</v>
      </c>
      <c r="B9" s="10">
        <v>43</v>
      </c>
      <c r="C9" s="11">
        <v>28.727377190462509</v>
      </c>
      <c r="D9" s="10" t="s">
        <v>253</v>
      </c>
      <c r="E9" s="10" t="s">
        <v>256</v>
      </c>
      <c r="F9" s="10" t="s">
        <v>261</v>
      </c>
      <c r="G9" s="10" t="s">
        <v>248</v>
      </c>
    </row>
    <row r="10" spans="1:8" ht="26.25" customHeight="1" x14ac:dyDescent="0.25">
      <c r="A10" s="12" t="s">
        <v>246</v>
      </c>
      <c r="B10" s="12">
        <v>30</v>
      </c>
      <c r="C10" s="13">
        <v>18.078512396694215</v>
      </c>
      <c r="D10" s="12" t="s">
        <v>254</v>
      </c>
      <c r="E10" s="12" t="s">
        <v>257</v>
      </c>
      <c r="F10" s="12" t="s">
        <v>249</v>
      </c>
      <c r="G10" s="12" t="s">
        <v>248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98DA-232C-4FEE-A95F-A67F85B82E84}">
  <dimension ref="A1:J15"/>
  <sheetViews>
    <sheetView tabSelected="1" workbookViewId="0">
      <selection activeCell="G17" sqref="G17"/>
    </sheetView>
  </sheetViews>
  <sheetFormatPr defaultRowHeight="15" x14ac:dyDescent="0.25"/>
  <cols>
    <col min="1" max="1" width="20.5703125" style="6" customWidth="1"/>
    <col min="2" max="2" width="28.42578125" style="6" customWidth="1"/>
    <col min="3" max="3" width="30.42578125" style="6" customWidth="1"/>
    <col min="4" max="4" width="26.5703125" style="6" customWidth="1"/>
    <col min="5" max="5" width="22.85546875" style="6" customWidth="1"/>
    <col min="6" max="6" width="23.42578125" style="6" customWidth="1"/>
    <col min="7" max="7" width="25.42578125" style="6" customWidth="1"/>
    <col min="8" max="8" width="40" style="6" customWidth="1"/>
    <col min="9" max="9" width="19.42578125" style="6" customWidth="1"/>
    <col min="10" max="10" width="22.42578125" style="6" customWidth="1"/>
  </cols>
  <sheetData>
    <row r="1" spans="1:10" x14ac:dyDescent="0.25">
      <c r="A1" s="10" t="s">
        <v>227</v>
      </c>
      <c r="B1" s="55" t="s">
        <v>341</v>
      </c>
      <c r="C1" s="55"/>
      <c r="D1" s="56"/>
      <c r="E1" s="56" t="s">
        <v>350</v>
      </c>
      <c r="F1" s="56" t="s">
        <v>342</v>
      </c>
      <c r="G1" s="56" t="s">
        <v>350</v>
      </c>
      <c r="H1" s="56" t="s">
        <v>349</v>
      </c>
      <c r="I1" s="7"/>
      <c r="J1" s="7"/>
    </row>
    <row r="2" spans="1:10" ht="63.75" x14ac:dyDescent="0.25">
      <c r="A2" s="10" t="s">
        <v>387</v>
      </c>
      <c r="B2" s="10" t="s">
        <v>226</v>
      </c>
      <c r="C2" s="10" t="s">
        <v>358</v>
      </c>
      <c r="D2" s="62" t="s">
        <v>359</v>
      </c>
      <c r="E2" s="59" t="s">
        <v>351</v>
      </c>
      <c r="F2" s="59"/>
      <c r="G2" s="55" t="s">
        <v>353</v>
      </c>
      <c r="H2" s="55"/>
      <c r="I2" s="54"/>
      <c r="J2" s="7"/>
    </row>
    <row r="3" spans="1:10" x14ac:dyDescent="0.25">
      <c r="A3" s="10" t="s">
        <v>228</v>
      </c>
      <c r="B3" s="59" t="s">
        <v>367</v>
      </c>
      <c r="C3" s="59"/>
      <c r="D3" s="59"/>
      <c r="E3" s="59"/>
      <c r="F3" s="56" t="s">
        <v>352</v>
      </c>
      <c r="G3" s="56" t="s">
        <v>354</v>
      </c>
      <c r="H3" s="56"/>
      <c r="I3" s="7"/>
      <c r="J3" s="7"/>
    </row>
    <row r="4" spans="1:10" ht="25.5" x14ac:dyDescent="0.25">
      <c r="A4" s="10" t="s">
        <v>368</v>
      </c>
      <c r="B4" s="55" t="s">
        <v>371</v>
      </c>
      <c r="C4" s="55"/>
      <c r="D4" s="55"/>
      <c r="E4" s="55"/>
      <c r="F4" s="56" t="s">
        <v>372</v>
      </c>
      <c r="G4" s="10" t="s">
        <v>370</v>
      </c>
      <c r="H4" s="56" t="s">
        <v>369</v>
      </c>
      <c r="I4" s="7"/>
      <c r="J4" s="7"/>
    </row>
    <row r="5" spans="1:10" x14ac:dyDescent="0.25">
      <c r="A5" s="10" t="s">
        <v>355</v>
      </c>
      <c r="B5" s="10" t="s">
        <v>356</v>
      </c>
      <c r="C5" s="59" t="s">
        <v>229</v>
      </c>
      <c r="D5" s="59"/>
      <c r="E5" s="59"/>
      <c r="F5" s="56" t="s">
        <v>236</v>
      </c>
      <c r="G5" s="56" t="s">
        <v>229</v>
      </c>
      <c r="H5" s="56" t="s">
        <v>373</v>
      </c>
      <c r="I5" s="7"/>
      <c r="J5" s="7"/>
    </row>
    <row r="6" spans="1:10" ht="25.5" x14ac:dyDescent="0.25">
      <c r="A6" s="10" t="s">
        <v>344</v>
      </c>
      <c r="B6" s="56" t="s">
        <v>357</v>
      </c>
      <c r="C6" s="56" t="s">
        <v>363</v>
      </c>
      <c r="D6" s="56" t="s">
        <v>360</v>
      </c>
      <c r="E6" s="56" t="s">
        <v>374</v>
      </c>
      <c r="F6" s="56" t="s">
        <v>375</v>
      </c>
      <c r="G6" s="56" t="s">
        <v>343</v>
      </c>
      <c r="H6" s="57"/>
      <c r="I6" s="7"/>
      <c r="J6" s="7"/>
    </row>
    <row r="7" spans="1:10" ht="54" customHeight="1" x14ac:dyDescent="0.25">
      <c r="A7" s="10" t="s">
        <v>361</v>
      </c>
      <c r="B7" s="10" t="s">
        <v>362</v>
      </c>
      <c r="C7" s="10" t="s">
        <v>364</v>
      </c>
      <c r="D7" s="10" t="s">
        <v>365</v>
      </c>
      <c r="E7" s="56" t="s">
        <v>331</v>
      </c>
      <c r="F7" s="56" t="s">
        <v>366</v>
      </c>
      <c r="G7" s="56" t="s">
        <v>331</v>
      </c>
      <c r="H7" s="56" t="s">
        <v>376</v>
      </c>
      <c r="I7" s="7"/>
      <c r="J7" s="7"/>
    </row>
    <row r="8" spans="1:10" x14ac:dyDescent="0.25">
      <c r="A8" s="10" t="s">
        <v>345</v>
      </c>
      <c r="B8" s="55" t="s">
        <v>377</v>
      </c>
      <c r="C8" s="55"/>
      <c r="D8" s="55"/>
      <c r="E8" s="55"/>
      <c r="F8" s="55" t="s">
        <v>378</v>
      </c>
      <c r="G8" s="55"/>
      <c r="H8" s="56" t="s">
        <v>379</v>
      </c>
      <c r="I8" s="7"/>
      <c r="J8" s="7"/>
    </row>
    <row r="9" spans="1:10" ht="25.5" x14ac:dyDescent="0.25">
      <c r="A9" s="10" t="s">
        <v>346</v>
      </c>
      <c r="B9" s="10" t="s">
        <v>230</v>
      </c>
      <c r="C9" s="10" t="s">
        <v>231</v>
      </c>
      <c r="D9" s="10" t="s">
        <v>232</v>
      </c>
      <c r="E9" s="10" t="s">
        <v>232</v>
      </c>
      <c r="F9" s="60" t="s">
        <v>380</v>
      </c>
      <c r="G9" s="57"/>
      <c r="H9" s="57"/>
      <c r="I9" s="7"/>
      <c r="J9" s="7"/>
    </row>
    <row r="10" spans="1:10" ht="25.5" customHeight="1" x14ac:dyDescent="0.25">
      <c r="A10" s="59" t="s">
        <v>347</v>
      </c>
      <c r="B10" s="61" t="s">
        <v>383</v>
      </c>
      <c r="C10" s="61"/>
      <c r="D10" s="61"/>
      <c r="E10" s="61"/>
      <c r="F10" s="59" t="s">
        <v>390</v>
      </c>
      <c r="G10" s="59" t="s">
        <v>389</v>
      </c>
      <c r="H10" s="55" t="s">
        <v>381</v>
      </c>
      <c r="I10" s="7"/>
      <c r="J10" s="7"/>
    </row>
    <row r="11" spans="1:10" ht="51.75" customHeight="1" x14ac:dyDescent="0.25">
      <c r="A11" s="59"/>
      <c r="B11" s="56" t="s">
        <v>384</v>
      </c>
      <c r="C11" s="56" t="s">
        <v>385</v>
      </c>
      <c r="D11" s="56" t="s">
        <v>385</v>
      </c>
      <c r="E11" s="56" t="s">
        <v>386</v>
      </c>
      <c r="F11" s="59"/>
      <c r="G11" s="59"/>
      <c r="H11" s="55"/>
      <c r="I11" s="7"/>
      <c r="J11" s="7"/>
    </row>
    <row r="12" spans="1:10" ht="38.25" x14ac:dyDescent="0.25">
      <c r="A12" s="10" t="s">
        <v>388</v>
      </c>
      <c r="B12" s="56"/>
      <c r="C12" s="56"/>
      <c r="D12" s="56"/>
      <c r="E12" s="56"/>
      <c r="F12" s="56" t="s">
        <v>382</v>
      </c>
      <c r="G12" s="58">
        <v>0.95</v>
      </c>
      <c r="H12" s="57"/>
      <c r="I12" s="7"/>
      <c r="J12" s="7"/>
    </row>
    <row r="13" spans="1:10" ht="17.25" customHeight="1" x14ac:dyDescent="0.25">
      <c r="A13" s="10" t="s">
        <v>348</v>
      </c>
      <c r="B13" s="10" t="s">
        <v>233</v>
      </c>
      <c r="C13" s="59" t="s">
        <v>234</v>
      </c>
      <c r="D13" s="59"/>
      <c r="E13" s="10" t="s">
        <v>235</v>
      </c>
      <c r="F13" s="56"/>
      <c r="G13" s="56"/>
      <c r="H13" s="56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</sheetData>
  <mergeCells count="14">
    <mergeCell ref="A10:A11"/>
    <mergeCell ref="B1:C1"/>
    <mergeCell ref="E2:F2"/>
    <mergeCell ref="G2:H2"/>
    <mergeCell ref="B3:E3"/>
    <mergeCell ref="C5:E5"/>
    <mergeCell ref="B4:E4"/>
    <mergeCell ref="B8:E8"/>
    <mergeCell ref="F8:G8"/>
    <mergeCell ref="B10:E10"/>
    <mergeCell ref="C13:D13"/>
    <mergeCell ref="F10:F11"/>
    <mergeCell ref="G10:G11"/>
    <mergeCell ref="H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F764-2817-42B1-BB85-AB1C44C4F3B3}">
  <dimension ref="A1:V65"/>
  <sheetViews>
    <sheetView zoomScale="90" zoomScaleNormal="90" workbookViewId="0">
      <selection activeCell="M25" sqref="M25"/>
    </sheetView>
  </sheetViews>
  <sheetFormatPr defaultRowHeight="15" x14ac:dyDescent="0.25"/>
  <cols>
    <col min="1" max="1" width="24.5703125" customWidth="1"/>
    <col min="2" max="2" width="36.140625" bestFit="1" customWidth="1"/>
    <col min="3" max="3" width="9" bestFit="1" customWidth="1"/>
    <col min="4" max="4" width="19.140625" bestFit="1" customWidth="1"/>
    <col min="5" max="5" width="22" style="6" bestFit="1" customWidth="1"/>
    <col min="6" max="6" width="21.140625" bestFit="1" customWidth="1"/>
    <col min="7" max="7" width="18.28515625" bestFit="1" customWidth="1"/>
    <col min="8" max="8" width="17.28515625" bestFit="1" customWidth="1"/>
    <col min="10" max="10" width="17.28515625" bestFit="1" customWidth="1"/>
    <col min="11" max="11" width="14.140625" customWidth="1"/>
  </cols>
  <sheetData>
    <row r="1" spans="1:11" x14ac:dyDescent="0.25">
      <c r="A1" t="s">
        <v>43</v>
      </c>
      <c r="B1" t="s">
        <v>44</v>
      </c>
      <c r="C1" t="s">
        <v>45</v>
      </c>
      <c r="D1" t="s">
        <v>46</v>
      </c>
      <c r="E1" s="6" t="s">
        <v>199</v>
      </c>
      <c r="F1" t="s">
        <v>47</v>
      </c>
      <c r="G1" t="s">
        <v>48</v>
      </c>
    </row>
    <row r="2" spans="1:11" x14ac:dyDescent="0.25">
      <c r="A2" t="s">
        <v>188</v>
      </c>
      <c r="B2" t="s">
        <v>177</v>
      </c>
      <c r="C2">
        <v>936629</v>
      </c>
      <c r="D2" t="s">
        <v>189</v>
      </c>
      <c r="E2" s="4" t="s">
        <v>203</v>
      </c>
      <c r="F2" t="s">
        <v>190</v>
      </c>
      <c r="G2" t="s">
        <v>191</v>
      </c>
      <c r="H2" s="3"/>
      <c r="I2" s="4"/>
      <c r="J2" s="1"/>
      <c r="K2" s="2"/>
    </row>
    <row r="3" spans="1:11" x14ac:dyDescent="0.25">
      <c r="A3" t="s">
        <v>163</v>
      </c>
      <c r="B3" t="s">
        <v>164</v>
      </c>
      <c r="C3">
        <v>937505</v>
      </c>
      <c r="D3" t="s">
        <v>31</v>
      </c>
      <c r="E3" s="4" t="s">
        <v>208</v>
      </c>
      <c r="F3" t="s">
        <v>165</v>
      </c>
      <c r="G3" t="s">
        <v>166</v>
      </c>
      <c r="H3" s="3"/>
      <c r="I3" s="4"/>
      <c r="J3" s="1"/>
      <c r="K3" s="2"/>
    </row>
    <row r="4" spans="1:11" x14ac:dyDescent="0.25">
      <c r="A4" t="s">
        <v>176</v>
      </c>
      <c r="B4" t="s">
        <v>177</v>
      </c>
      <c r="C4">
        <v>937776</v>
      </c>
      <c r="D4" t="s">
        <v>36</v>
      </c>
      <c r="E4" s="4" t="s">
        <v>218</v>
      </c>
      <c r="F4" t="s">
        <v>178</v>
      </c>
      <c r="G4" t="s">
        <v>179</v>
      </c>
      <c r="H4" s="3"/>
      <c r="I4" s="4"/>
      <c r="J4" s="1"/>
      <c r="K4" s="2"/>
    </row>
    <row r="5" spans="1:11" x14ac:dyDescent="0.25">
      <c r="A5" t="s">
        <v>182</v>
      </c>
      <c r="B5" t="s">
        <v>177</v>
      </c>
      <c r="C5">
        <v>938885</v>
      </c>
      <c r="D5" t="s">
        <v>183</v>
      </c>
      <c r="E5" s="4" t="s">
        <v>220</v>
      </c>
      <c r="F5" t="s">
        <v>52</v>
      </c>
      <c r="G5" t="s">
        <v>184</v>
      </c>
      <c r="H5" s="3"/>
      <c r="I5" s="4"/>
      <c r="J5" s="1"/>
      <c r="K5" s="2"/>
    </row>
    <row r="6" spans="1:11" x14ac:dyDescent="0.25">
      <c r="A6" t="s">
        <v>185</v>
      </c>
      <c r="B6" t="s">
        <v>177</v>
      </c>
      <c r="C6">
        <v>939307</v>
      </c>
      <c r="D6" t="s">
        <v>38</v>
      </c>
      <c r="E6" s="4" t="s">
        <v>210</v>
      </c>
      <c r="F6" t="s">
        <v>186</v>
      </c>
      <c r="G6" t="s">
        <v>187</v>
      </c>
      <c r="H6" s="3"/>
      <c r="J6" s="1"/>
      <c r="K6" s="2"/>
    </row>
    <row r="7" spans="1:11" x14ac:dyDescent="0.25">
      <c r="A7" t="s">
        <v>192</v>
      </c>
      <c r="B7" t="s">
        <v>177</v>
      </c>
      <c r="C7">
        <v>939649</v>
      </c>
      <c r="D7" t="s">
        <v>39</v>
      </c>
      <c r="E7" s="4" t="s">
        <v>214</v>
      </c>
      <c r="F7" t="s">
        <v>186</v>
      </c>
      <c r="G7" t="s">
        <v>193</v>
      </c>
      <c r="H7" s="3"/>
      <c r="I7" s="4"/>
      <c r="J7" s="1"/>
      <c r="K7" s="2"/>
    </row>
    <row r="8" spans="1:11" x14ac:dyDescent="0.25">
      <c r="A8" t="s">
        <v>139</v>
      </c>
      <c r="B8" t="s">
        <v>50</v>
      </c>
      <c r="C8">
        <v>4912896</v>
      </c>
      <c r="D8" s="3" t="s">
        <v>17</v>
      </c>
      <c r="E8" s="4" t="s">
        <v>217</v>
      </c>
      <c r="F8" t="s">
        <v>137</v>
      </c>
      <c r="G8" t="s">
        <v>138</v>
      </c>
      <c r="H8" s="3"/>
      <c r="I8" s="4"/>
      <c r="J8" s="1"/>
      <c r="K8" s="2"/>
    </row>
    <row r="9" spans="1:11" x14ac:dyDescent="0.25">
      <c r="A9" t="s">
        <v>136</v>
      </c>
      <c r="B9" t="s">
        <v>50</v>
      </c>
      <c r="C9">
        <v>4912897</v>
      </c>
      <c r="D9" s="3" t="s">
        <v>16</v>
      </c>
      <c r="E9" s="4" t="s">
        <v>203</v>
      </c>
      <c r="F9" t="s">
        <v>137</v>
      </c>
      <c r="G9" t="s">
        <v>138</v>
      </c>
      <c r="H9" s="3"/>
      <c r="I9" s="4"/>
      <c r="J9" s="1"/>
      <c r="K9" s="2"/>
    </row>
    <row r="10" spans="1:11" x14ac:dyDescent="0.25">
      <c r="A10" t="s">
        <v>104</v>
      </c>
      <c r="B10" t="s">
        <v>50</v>
      </c>
      <c r="C10">
        <v>4912991</v>
      </c>
      <c r="D10" t="s">
        <v>105</v>
      </c>
      <c r="E10" s="4" t="s">
        <v>224</v>
      </c>
      <c r="F10" t="s">
        <v>106</v>
      </c>
      <c r="G10" t="s">
        <v>107</v>
      </c>
      <c r="H10" s="3"/>
      <c r="J10" s="1"/>
      <c r="K10" s="2"/>
    </row>
    <row r="11" spans="1:11" x14ac:dyDescent="0.25">
      <c r="A11" t="s">
        <v>68</v>
      </c>
      <c r="B11" t="s">
        <v>50</v>
      </c>
      <c r="C11">
        <v>4913062</v>
      </c>
      <c r="D11" t="s">
        <v>68</v>
      </c>
      <c r="E11" s="4" t="s">
        <v>212</v>
      </c>
      <c r="F11" t="s">
        <v>69</v>
      </c>
      <c r="G11" t="s">
        <v>70</v>
      </c>
      <c r="H11" s="3"/>
      <c r="I11" s="4"/>
      <c r="J11" s="1"/>
      <c r="K11" s="2"/>
    </row>
    <row r="12" spans="1:11" x14ac:dyDescent="0.25">
      <c r="A12" t="s">
        <v>170</v>
      </c>
      <c r="B12" t="s">
        <v>50</v>
      </c>
      <c r="C12">
        <v>4913089</v>
      </c>
      <c r="D12" t="s">
        <v>34</v>
      </c>
      <c r="E12" s="4" t="s">
        <v>202</v>
      </c>
      <c r="F12" t="s">
        <v>146</v>
      </c>
      <c r="G12" t="s">
        <v>168</v>
      </c>
      <c r="H12" s="3"/>
      <c r="I12" s="4"/>
      <c r="J12" s="1"/>
      <c r="K12" s="2"/>
    </row>
    <row r="13" spans="1:11" x14ac:dyDescent="0.25">
      <c r="A13" t="s">
        <v>158</v>
      </c>
      <c r="B13" t="s">
        <v>50</v>
      </c>
      <c r="C13">
        <v>4913102</v>
      </c>
      <c r="D13" t="s">
        <v>29</v>
      </c>
      <c r="E13" s="4" t="s">
        <v>203</v>
      </c>
      <c r="F13" t="s">
        <v>146</v>
      </c>
      <c r="G13" t="s">
        <v>159</v>
      </c>
      <c r="H13" s="3"/>
      <c r="I13" s="4"/>
      <c r="J13" s="1"/>
      <c r="K13" s="2"/>
    </row>
    <row r="14" spans="1:11" x14ac:dyDescent="0.25">
      <c r="A14" t="s">
        <v>91</v>
      </c>
      <c r="B14" t="s">
        <v>50</v>
      </c>
      <c r="C14">
        <v>4913168</v>
      </c>
      <c r="D14" t="s">
        <v>92</v>
      </c>
      <c r="E14" s="4" t="s">
        <v>215</v>
      </c>
      <c r="F14" t="s">
        <v>93</v>
      </c>
      <c r="G14" t="s">
        <v>94</v>
      </c>
      <c r="H14" s="3"/>
      <c r="J14" s="1"/>
      <c r="K14" s="2"/>
    </row>
    <row r="15" spans="1:11" x14ac:dyDescent="0.25">
      <c r="A15" t="s">
        <v>80</v>
      </c>
      <c r="B15" t="s">
        <v>50</v>
      </c>
      <c r="C15">
        <v>4913197</v>
      </c>
      <c r="D15" t="s">
        <v>3</v>
      </c>
      <c r="E15" s="4">
        <v>1</v>
      </c>
      <c r="F15" t="s">
        <v>69</v>
      </c>
      <c r="G15" t="s">
        <v>70</v>
      </c>
      <c r="J15" s="1"/>
      <c r="K15" s="2"/>
    </row>
    <row r="16" spans="1:11" x14ac:dyDescent="0.25">
      <c r="A16" t="s">
        <v>152</v>
      </c>
      <c r="B16" t="s">
        <v>50</v>
      </c>
      <c r="C16">
        <v>4913258</v>
      </c>
      <c r="D16" s="3" t="s">
        <v>25</v>
      </c>
      <c r="E16" s="6" t="s">
        <v>206</v>
      </c>
      <c r="F16" t="s">
        <v>146</v>
      </c>
      <c r="G16" t="s">
        <v>147</v>
      </c>
      <c r="H16" s="3"/>
      <c r="I16" s="4"/>
      <c r="J16" s="1"/>
      <c r="K16" s="2"/>
    </row>
    <row r="17" spans="1:22" x14ac:dyDescent="0.25">
      <c r="A17" t="s">
        <v>153</v>
      </c>
      <c r="B17" t="s">
        <v>50</v>
      </c>
      <c r="C17">
        <v>4913259</v>
      </c>
      <c r="D17" s="3" t="s">
        <v>26</v>
      </c>
      <c r="E17" s="4" t="s">
        <v>207</v>
      </c>
      <c r="F17" t="s">
        <v>154</v>
      </c>
      <c r="G17" t="s">
        <v>58</v>
      </c>
      <c r="H17" s="3"/>
      <c r="I17" s="4"/>
      <c r="J17" s="1"/>
      <c r="K17" s="2"/>
    </row>
    <row r="18" spans="1:22" x14ac:dyDescent="0.25">
      <c r="A18" t="s">
        <v>56</v>
      </c>
      <c r="B18" t="s">
        <v>50</v>
      </c>
      <c r="C18">
        <v>4913272</v>
      </c>
      <c r="D18" s="1" t="s">
        <v>2</v>
      </c>
      <c r="E18" s="4" t="s">
        <v>208</v>
      </c>
      <c r="F18" t="s">
        <v>57</v>
      </c>
      <c r="G18" t="s">
        <v>58</v>
      </c>
      <c r="J18" s="1"/>
    </row>
    <row r="19" spans="1:22" x14ac:dyDescent="0.25">
      <c r="A19" t="s">
        <v>88</v>
      </c>
      <c r="B19" t="s">
        <v>50</v>
      </c>
      <c r="C19">
        <v>4913287</v>
      </c>
      <c r="D19" t="s">
        <v>6</v>
      </c>
      <c r="E19" s="4" t="s">
        <v>219</v>
      </c>
      <c r="F19" t="s">
        <v>89</v>
      </c>
      <c r="G19" t="s">
        <v>90</v>
      </c>
      <c r="H19" s="3"/>
      <c r="I19" s="4"/>
      <c r="J19" s="1"/>
      <c r="K19" s="2"/>
    </row>
    <row r="20" spans="1:22" x14ac:dyDescent="0.25">
      <c r="A20" t="s">
        <v>127</v>
      </c>
      <c r="B20" t="s">
        <v>50</v>
      </c>
      <c r="C20">
        <v>4913325</v>
      </c>
      <c r="D20" t="s">
        <v>13</v>
      </c>
      <c r="E20" s="4" t="s">
        <v>220</v>
      </c>
      <c r="F20" t="s">
        <v>124</v>
      </c>
      <c r="G20" t="s">
        <v>125</v>
      </c>
      <c r="H20" s="3"/>
      <c r="I20" s="4"/>
      <c r="J20" s="1"/>
      <c r="K20" s="2"/>
    </row>
    <row r="21" spans="1:22" x14ac:dyDescent="0.25">
      <c r="A21" t="s">
        <v>123</v>
      </c>
      <c r="B21" t="s">
        <v>50</v>
      </c>
      <c r="C21">
        <v>4913326</v>
      </c>
      <c r="D21" t="s">
        <v>11</v>
      </c>
      <c r="E21" s="4" t="s">
        <v>220</v>
      </c>
      <c r="F21" t="s">
        <v>124</v>
      </c>
      <c r="G21" t="s">
        <v>125</v>
      </c>
      <c r="H21" s="3"/>
      <c r="I21" s="4"/>
      <c r="J21" s="1"/>
      <c r="K21" s="2"/>
    </row>
    <row r="22" spans="1:22" x14ac:dyDescent="0.25">
      <c r="A22" t="s">
        <v>142</v>
      </c>
      <c r="B22" t="s">
        <v>50</v>
      </c>
      <c r="C22">
        <v>4913327</v>
      </c>
      <c r="D22" s="3" t="s">
        <v>19</v>
      </c>
      <c r="E22" s="4" t="s">
        <v>208</v>
      </c>
      <c r="F22" t="s">
        <v>143</v>
      </c>
      <c r="G22" t="s">
        <v>144</v>
      </c>
      <c r="H22" s="3"/>
      <c r="J22" s="1"/>
      <c r="K22" s="2"/>
    </row>
    <row r="23" spans="1:22" x14ac:dyDescent="0.25">
      <c r="A23" t="s">
        <v>95</v>
      </c>
      <c r="B23" t="s">
        <v>50</v>
      </c>
      <c r="C23">
        <v>4913333</v>
      </c>
      <c r="D23" s="3" t="s">
        <v>7</v>
      </c>
      <c r="E23" s="4" t="s">
        <v>215</v>
      </c>
      <c r="F23" t="s">
        <v>96</v>
      </c>
      <c r="G23" t="s">
        <v>97</v>
      </c>
      <c r="H23" s="3"/>
      <c r="J23" s="1"/>
      <c r="K23" s="2"/>
    </row>
    <row r="24" spans="1:22" x14ac:dyDescent="0.25">
      <c r="A24" t="s">
        <v>169</v>
      </c>
      <c r="B24" t="s">
        <v>50</v>
      </c>
      <c r="C24">
        <v>4913335</v>
      </c>
      <c r="D24" t="s">
        <v>33</v>
      </c>
      <c r="E24" s="4" t="s">
        <v>220</v>
      </c>
      <c r="F24" t="s">
        <v>146</v>
      </c>
      <c r="G24" t="s">
        <v>168</v>
      </c>
      <c r="H24" s="3"/>
      <c r="I24" s="4"/>
      <c r="J24" s="1"/>
      <c r="K24" s="2"/>
    </row>
    <row r="25" spans="1:22" x14ac:dyDescent="0.25">
      <c r="A25" t="s">
        <v>195</v>
      </c>
      <c r="B25" t="s">
        <v>50</v>
      </c>
      <c r="C25">
        <v>4913356</v>
      </c>
      <c r="D25" s="3" t="s">
        <v>40</v>
      </c>
      <c r="E25" s="4" t="s">
        <v>204</v>
      </c>
      <c r="F25" t="s">
        <v>78</v>
      </c>
      <c r="G25" t="s">
        <v>79</v>
      </c>
    </row>
    <row r="26" spans="1:22" x14ac:dyDescent="0.25">
      <c r="A26" t="s">
        <v>63</v>
      </c>
      <c r="B26" t="s">
        <v>50</v>
      </c>
      <c r="C26">
        <v>4913416</v>
      </c>
      <c r="D26" t="s">
        <v>63</v>
      </c>
      <c r="E26" s="4" t="s">
        <v>204</v>
      </c>
      <c r="F26" t="s">
        <v>64</v>
      </c>
      <c r="G26" t="s">
        <v>65</v>
      </c>
      <c r="H26" s="3"/>
      <c r="I26" s="4"/>
      <c r="J26" s="1"/>
      <c r="K26" s="2"/>
      <c r="S26" s="3"/>
      <c r="U26" s="1"/>
      <c r="V26" s="2"/>
    </row>
    <row r="27" spans="1:22" x14ac:dyDescent="0.25">
      <c r="A27" t="s">
        <v>73</v>
      </c>
      <c r="B27" t="s">
        <v>50</v>
      </c>
      <c r="C27">
        <v>4913675</v>
      </c>
      <c r="D27" t="s">
        <v>73</v>
      </c>
      <c r="E27" s="4" t="s">
        <v>225</v>
      </c>
      <c r="F27" t="s">
        <v>74</v>
      </c>
      <c r="G27" t="s">
        <v>58</v>
      </c>
      <c r="H27" s="3"/>
      <c r="J27" s="1"/>
      <c r="K27" s="2"/>
    </row>
    <row r="28" spans="1:22" x14ac:dyDescent="0.25">
      <c r="A28" t="s">
        <v>84</v>
      </c>
      <c r="B28" t="s">
        <v>50</v>
      </c>
      <c r="C28">
        <v>4913742</v>
      </c>
      <c r="D28" s="3" t="s">
        <v>4</v>
      </c>
      <c r="E28" s="4" t="s">
        <v>205</v>
      </c>
      <c r="F28" t="s">
        <v>82</v>
      </c>
      <c r="G28" t="s">
        <v>83</v>
      </c>
      <c r="H28" s="3"/>
      <c r="J28" s="1"/>
      <c r="K28" s="2"/>
      <c r="U28" s="1"/>
      <c r="V28" s="2"/>
    </row>
    <row r="29" spans="1:22" x14ac:dyDescent="0.25">
      <c r="A29" t="s">
        <v>196</v>
      </c>
      <c r="B29" t="s">
        <v>50</v>
      </c>
      <c r="C29">
        <v>4913806</v>
      </c>
      <c r="D29" t="s">
        <v>41</v>
      </c>
      <c r="E29" s="4" t="s">
        <v>212</v>
      </c>
      <c r="F29" t="s">
        <v>137</v>
      </c>
      <c r="G29" t="s">
        <v>173</v>
      </c>
    </row>
    <row r="30" spans="1:22" x14ac:dyDescent="0.25">
      <c r="A30" t="s">
        <v>157</v>
      </c>
      <c r="B30" t="s">
        <v>50</v>
      </c>
      <c r="C30">
        <v>4914203</v>
      </c>
      <c r="D30" t="s">
        <v>28</v>
      </c>
      <c r="E30" s="4" t="s">
        <v>219</v>
      </c>
      <c r="F30" t="s">
        <v>146</v>
      </c>
      <c r="G30" t="s">
        <v>156</v>
      </c>
      <c r="H30" s="3"/>
      <c r="J30" s="1"/>
      <c r="K30" s="2"/>
      <c r="S30" s="3"/>
      <c r="T30" s="4"/>
      <c r="U30" s="1"/>
      <c r="V30" s="2"/>
    </row>
    <row r="31" spans="1:22" x14ac:dyDescent="0.25">
      <c r="A31" t="s">
        <v>130</v>
      </c>
      <c r="B31" t="s">
        <v>50</v>
      </c>
      <c r="C31">
        <v>4914206</v>
      </c>
      <c r="D31" t="s">
        <v>130</v>
      </c>
      <c r="E31" s="4" t="s">
        <v>205</v>
      </c>
      <c r="F31" t="s">
        <v>131</v>
      </c>
      <c r="G31" t="s">
        <v>132</v>
      </c>
      <c r="H31" s="3"/>
      <c r="I31" s="4"/>
      <c r="J31" s="1"/>
      <c r="K31" s="2"/>
    </row>
    <row r="32" spans="1:22" x14ac:dyDescent="0.25">
      <c r="A32" t="s">
        <v>180</v>
      </c>
      <c r="B32" t="s">
        <v>50</v>
      </c>
      <c r="C32">
        <v>4914208</v>
      </c>
      <c r="D32" t="s">
        <v>37</v>
      </c>
      <c r="E32" s="4" t="s">
        <v>211</v>
      </c>
      <c r="F32" t="s">
        <v>66</v>
      </c>
      <c r="G32" t="s">
        <v>161</v>
      </c>
      <c r="H32" s="3"/>
      <c r="I32" s="4"/>
      <c r="J32" s="1"/>
      <c r="K32" s="2"/>
      <c r="S32" s="3"/>
      <c r="T32" s="4"/>
      <c r="U32" s="1"/>
      <c r="V32" s="2"/>
    </row>
    <row r="33" spans="1:22" x14ac:dyDescent="0.25">
      <c r="A33" t="s">
        <v>117</v>
      </c>
      <c r="B33" t="s">
        <v>50</v>
      </c>
      <c r="C33">
        <v>4914213</v>
      </c>
      <c r="D33" t="s">
        <v>117</v>
      </c>
      <c r="E33" s="4" t="s">
        <v>203</v>
      </c>
      <c r="F33" t="s">
        <v>118</v>
      </c>
      <c r="G33" t="s">
        <v>119</v>
      </c>
      <c r="H33" s="3"/>
      <c r="I33" s="4"/>
      <c r="J33" s="1"/>
      <c r="K33" s="2"/>
    </row>
    <row r="34" spans="1:22" x14ac:dyDescent="0.25">
      <c r="A34" t="s">
        <v>114</v>
      </c>
      <c r="B34" t="s">
        <v>50</v>
      </c>
      <c r="C34">
        <v>4914363</v>
      </c>
      <c r="D34" t="s">
        <v>114</v>
      </c>
      <c r="E34" s="4" t="s">
        <v>202</v>
      </c>
      <c r="F34" t="s">
        <v>115</v>
      </c>
      <c r="G34" t="s">
        <v>116</v>
      </c>
      <c r="H34" s="3"/>
      <c r="J34" s="1"/>
      <c r="K34" s="2"/>
      <c r="S34" s="3"/>
      <c r="T34" s="4"/>
      <c r="U34" s="1"/>
      <c r="V34" s="2"/>
    </row>
    <row r="35" spans="1:22" x14ac:dyDescent="0.25">
      <c r="A35" t="s">
        <v>71</v>
      </c>
      <c r="B35" t="s">
        <v>50</v>
      </c>
      <c r="C35">
        <v>4914464</v>
      </c>
      <c r="D35" t="s">
        <v>71</v>
      </c>
      <c r="E35" s="4" t="s">
        <v>212</v>
      </c>
      <c r="F35" t="s">
        <v>72</v>
      </c>
      <c r="G35" t="s">
        <v>58</v>
      </c>
      <c r="H35" s="3"/>
      <c r="J35" s="1"/>
      <c r="K35" s="2"/>
    </row>
    <row r="36" spans="1:22" x14ac:dyDescent="0.25">
      <c r="A36" t="s">
        <v>85</v>
      </c>
      <c r="B36" t="s">
        <v>50</v>
      </c>
      <c r="C36">
        <v>4914609</v>
      </c>
      <c r="D36" t="s">
        <v>5</v>
      </c>
      <c r="E36" s="4" t="s">
        <v>218</v>
      </c>
      <c r="F36" t="s">
        <v>86</v>
      </c>
      <c r="G36" t="s">
        <v>87</v>
      </c>
      <c r="H36" s="3"/>
      <c r="I36" s="4"/>
      <c r="J36" s="1"/>
      <c r="K36" s="2"/>
    </row>
    <row r="37" spans="1:22" x14ac:dyDescent="0.25">
      <c r="A37" t="s">
        <v>171</v>
      </c>
      <c r="B37" t="s">
        <v>50</v>
      </c>
      <c r="C37">
        <v>4914610</v>
      </c>
      <c r="D37" t="s">
        <v>201</v>
      </c>
      <c r="E37" s="4" t="s">
        <v>211</v>
      </c>
      <c r="F37" t="s">
        <v>172</v>
      </c>
      <c r="G37" t="s">
        <v>173</v>
      </c>
      <c r="H37" s="3"/>
      <c r="I37" s="4"/>
      <c r="J37" s="1"/>
      <c r="K37" s="2"/>
    </row>
    <row r="38" spans="1:22" x14ac:dyDescent="0.25">
      <c r="A38" t="s">
        <v>75</v>
      </c>
      <c r="B38" t="s">
        <v>50</v>
      </c>
      <c r="C38">
        <v>4914711</v>
      </c>
      <c r="D38" t="s">
        <v>75</v>
      </c>
      <c r="E38" s="4" t="s">
        <v>213</v>
      </c>
      <c r="F38" t="s">
        <v>76</v>
      </c>
      <c r="G38" t="s">
        <v>58</v>
      </c>
      <c r="H38" s="3"/>
      <c r="J38" s="1"/>
      <c r="K38" s="2"/>
    </row>
    <row r="39" spans="1:22" x14ac:dyDescent="0.25">
      <c r="A39" t="s">
        <v>160</v>
      </c>
      <c r="B39" t="s">
        <v>50</v>
      </c>
      <c r="C39">
        <v>4914855</v>
      </c>
      <c r="D39" s="3" t="s">
        <v>30</v>
      </c>
      <c r="E39" s="4" t="s">
        <v>209</v>
      </c>
      <c r="F39" t="s">
        <v>161</v>
      </c>
      <c r="G39" t="s">
        <v>162</v>
      </c>
      <c r="H39" s="3"/>
      <c r="I39" s="4"/>
      <c r="J39" s="1"/>
      <c r="K39" s="2"/>
    </row>
    <row r="40" spans="1:22" x14ac:dyDescent="0.25">
      <c r="A40" t="s">
        <v>140</v>
      </c>
      <c r="B40" t="s">
        <v>50</v>
      </c>
      <c r="C40">
        <v>4914856</v>
      </c>
      <c r="D40" t="s">
        <v>18</v>
      </c>
      <c r="E40" s="4" t="s">
        <v>206</v>
      </c>
      <c r="F40" t="s">
        <v>66</v>
      </c>
      <c r="G40" t="s">
        <v>141</v>
      </c>
      <c r="H40" s="3"/>
      <c r="I40" s="4"/>
      <c r="J40" s="1"/>
      <c r="K40" s="2"/>
    </row>
    <row r="41" spans="1:22" x14ac:dyDescent="0.25">
      <c r="A41" t="s">
        <v>108</v>
      </c>
      <c r="B41" t="s">
        <v>50</v>
      </c>
      <c r="C41">
        <v>4914867</v>
      </c>
      <c r="D41" s="3" t="s">
        <v>9</v>
      </c>
      <c r="E41" s="4" t="s">
        <v>210</v>
      </c>
      <c r="F41" t="s">
        <v>109</v>
      </c>
      <c r="G41" t="s">
        <v>110</v>
      </c>
      <c r="J41" s="1"/>
      <c r="K41" s="2"/>
    </row>
    <row r="42" spans="1:22" x14ac:dyDescent="0.25">
      <c r="A42" t="s">
        <v>120</v>
      </c>
      <c r="B42" t="s">
        <v>50</v>
      </c>
      <c r="C42">
        <v>4915130</v>
      </c>
      <c r="D42" t="s">
        <v>10</v>
      </c>
      <c r="E42" s="4" t="s">
        <v>214</v>
      </c>
      <c r="F42" t="s">
        <v>121</v>
      </c>
      <c r="G42" t="s">
        <v>122</v>
      </c>
      <c r="H42" s="3"/>
      <c r="I42" s="4"/>
      <c r="J42" s="1"/>
      <c r="K42" s="2"/>
    </row>
    <row r="43" spans="1:22" x14ac:dyDescent="0.25">
      <c r="A43" t="s">
        <v>53</v>
      </c>
      <c r="B43" t="s">
        <v>50</v>
      </c>
      <c r="C43">
        <v>4915351</v>
      </c>
      <c r="D43" t="s">
        <v>1</v>
      </c>
      <c r="E43" s="4" t="s">
        <v>202</v>
      </c>
      <c r="F43" t="s">
        <v>54</v>
      </c>
      <c r="G43" t="s">
        <v>55</v>
      </c>
      <c r="H43" s="3"/>
      <c r="I43" s="4"/>
      <c r="J43" s="1"/>
      <c r="K43" s="2"/>
    </row>
    <row r="44" spans="1:22" x14ac:dyDescent="0.25">
      <c r="A44" t="s">
        <v>126</v>
      </c>
      <c r="B44" t="s">
        <v>50</v>
      </c>
      <c r="C44">
        <v>4915575</v>
      </c>
      <c r="D44" t="s">
        <v>12</v>
      </c>
      <c r="E44" s="4" t="s">
        <v>212</v>
      </c>
      <c r="F44" t="s">
        <v>124</v>
      </c>
      <c r="G44" t="s">
        <v>125</v>
      </c>
      <c r="H44" s="3"/>
      <c r="I44" s="4"/>
      <c r="J44" s="1"/>
      <c r="K44" s="2"/>
    </row>
    <row r="45" spans="1:22" x14ac:dyDescent="0.25">
      <c r="A45" t="s">
        <v>167</v>
      </c>
      <c r="B45" t="s">
        <v>50</v>
      </c>
      <c r="C45">
        <v>4915577</v>
      </c>
      <c r="D45" t="s">
        <v>32</v>
      </c>
      <c r="E45" s="4" t="s">
        <v>225</v>
      </c>
      <c r="F45" t="s">
        <v>146</v>
      </c>
      <c r="G45" t="s">
        <v>168</v>
      </c>
      <c r="H45" s="3"/>
      <c r="I45" s="4"/>
      <c r="J45" s="1"/>
      <c r="K45" s="2"/>
    </row>
    <row r="46" spans="1:22" x14ac:dyDescent="0.25">
      <c r="A46" t="s">
        <v>133</v>
      </c>
      <c r="B46" t="s">
        <v>50</v>
      </c>
      <c r="C46">
        <v>4915629</v>
      </c>
      <c r="D46" t="s">
        <v>133</v>
      </c>
      <c r="E46" s="4" t="s">
        <v>208</v>
      </c>
      <c r="F46" t="s">
        <v>134</v>
      </c>
      <c r="G46" t="s">
        <v>135</v>
      </c>
      <c r="H46" s="3"/>
      <c r="J46" s="1"/>
      <c r="K46" s="2"/>
    </row>
    <row r="47" spans="1:22" x14ac:dyDescent="0.25">
      <c r="A47" t="s">
        <v>77</v>
      </c>
      <c r="B47" t="s">
        <v>50</v>
      </c>
      <c r="C47">
        <v>4915642</v>
      </c>
      <c r="D47" t="s">
        <v>77</v>
      </c>
      <c r="E47" s="4" t="s">
        <v>216</v>
      </c>
      <c r="F47" t="s">
        <v>78</v>
      </c>
      <c r="G47" t="s">
        <v>79</v>
      </c>
      <c r="H47" s="3"/>
      <c r="J47" s="1"/>
      <c r="K47" s="2"/>
    </row>
    <row r="48" spans="1:22" x14ac:dyDescent="0.25">
      <c r="A48" t="s">
        <v>197</v>
      </c>
      <c r="B48" t="s">
        <v>50</v>
      </c>
      <c r="C48">
        <v>4915733</v>
      </c>
      <c r="D48" t="s">
        <v>42</v>
      </c>
      <c r="E48" s="4" t="s">
        <v>221</v>
      </c>
      <c r="F48" t="s">
        <v>198</v>
      </c>
      <c r="G48" t="s">
        <v>187</v>
      </c>
    </row>
    <row r="49" spans="1:11" x14ac:dyDescent="0.25">
      <c r="A49" t="s">
        <v>181</v>
      </c>
      <c r="B49" t="s">
        <v>50</v>
      </c>
      <c r="C49">
        <v>4915820</v>
      </c>
      <c r="D49" t="s">
        <v>181</v>
      </c>
      <c r="E49" s="4" t="s">
        <v>202</v>
      </c>
      <c r="F49" t="s">
        <v>66</v>
      </c>
      <c r="G49" t="s">
        <v>79</v>
      </c>
      <c r="H49" s="3"/>
      <c r="I49" s="4"/>
      <c r="J49" s="1"/>
      <c r="K49" s="2"/>
    </row>
    <row r="50" spans="1:11" x14ac:dyDescent="0.25">
      <c r="A50" t="s">
        <v>145</v>
      </c>
      <c r="B50" t="s">
        <v>50</v>
      </c>
      <c r="C50">
        <v>4916187</v>
      </c>
      <c r="D50" t="s">
        <v>20</v>
      </c>
      <c r="E50" s="4">
        <v>1</v>
      </c>
      <c r="F50" t="s">
        <v>146</v>
      </c>
      <c r="G50" t="s">
        <v>147</v>
      </c>
      <c r="H50" s="3"/>
      <c r="I50" s="4"/>
      <c r="J50" s="1"/>
      <c r="K50" s="2"/>
    </row>
    <row r="51" spans="1:11" x14ac:dyDescent="0.25">
      <c r="A51" t="s">
        <v>148</v>
      </c>
      <c r="B51" t="s">
        <v>50</v>
      </c>
      <c r="C51">
        <v>4916188</v>
      </c>
      <c r="D51" s="3" t="s">
        <v>21</v>
      </c>
      <c r="E51" s="4" t="s">
        <v>205</v>
      </c>
      <c r="F51" t="s">
        <v>146</v>
      </c>
      <c r="G51" t="s">
        <v>147</v>
      </c>
      <c r="H51" s="3"/>
      <c r="I51" s="4"/>
      <c r="J51" s="1"/>
      <c r="K51" s="2"/>
    </row>
    <row r="52" spans="1:11" x14ac:dyDescent="0.25">
      <c r="A52" t="s">
        <v>149</v>
      </c>
      <c r="B52" t="s">
        <v>50</v>
      </c>
      <c r="C52">
        <v>4916189</v>
      </c>
      <c r="D52" t="s">
        <v>22</v>
      </c>
      <c r="E52" s="4" t="s">
        <v>222</v>
      </c>
      <c r="F52" t="s">
        <v>146</v>
      </c>
      <c r="G52" t="s">
        <v>147</v>
      </c>
      <c r="H52" s="3"/>
      <c r="I52" s="4"/>
      <c r="J52" s="1"/>
      <c r="K52" s="2"/>
    </row>
    <row r="53" spans="1:11" x14ac:dyDescent="0.25">
      <c r="A53" t="s">
        <v>150</v>
      </c>
      <c r="B53" t="s">
        <v>50</v>
      </c>
      <c r="C53">
        <v>4916190</v>
      </c>
      <c r="D53" t="s">
        <v>23</v>
      </c>
      <c r="E53" s="4" t="s">
        <v>212</v>
      </c>
      <c r="F53" t="s">
        <v>146</v>
      </c>
      <c r="G53" t="s">
        <v>147</v>
      </c>
      <c r="H53" s="3"/>
      <c r="I53" s="4"/>
      <c r="J53" s="1"/>
      <c r="K53" s="2"/>
    </row>
    <row r="54" spans="1:11" x14ac:dyDescent="0.25">
      <c r="A54" t="s">
        <v>151</v>
      </c>
      <c r="B54" t="s">
        <v>50</v>
      </c>
      <c r="C54">
        <v>4916191</v>
      </c>
      <c r="D54" t="s">
        <v>24</v>
      </c>
      <c r="E54" s="4" t="s">
        <v>205</v>
      </c>
      <c r="F54" t="s">
        <v>146</v>
      </c>
      <c r="G54" t="s">
        <v>147</v>
      </c>
      <c r="H54" s="3"/>
      <c r="J54" s="1"/>
      <c r="K54" s="2"/>
    </row>
    <row r="55" spans="1:11" x14ac:dyDescent="0.25">
      <c r="A55" s="5" t="s">
        <v>194</v>
      </c>
      <c r="B55" t="s">
        <v>50</v>
      </c>
      <c r="C55" s="5">
        <v>4916413</v>
      </c>
      <c r="D55" t="s">
        <v>200</v>
      </c>
      <c r="E55" s="4" t="s">
        <v>223</v>
      </c>
      <c r="F55" t="s">
        <v>66</v>
      </c>
      <c r="G55" t="s">
        <v>67</v>
      </c>
      <c r="K55" s="1"/>
    </row>
    <row r="56" spans="1:11" x14ac:dyDescent="0.25">
      <c r="A56" t="s">
        <v>174</v>
      </c>
      <c r="B56" t="s">
        <v>50</v>
      </c>
      <c r="C56">
        <v>4916443</v>
      </c>
      <c r="D56" t="s">
        <v>35</v>
      </c>
      <c r="E56" s="4" t="s">
        <v>213</v>
      </c>
      <c r="F56" t="s">
        <v>175</v>
      </c>
      <c r="G56" t="s">
        <v>55</v>
      </c>
      <c r="H56" s="3"/>
      <c r="I56" s="4"/>
      <c r="J56" s="1"/>
      <c r="K56" s="2"/>
    </row>
    <row r="57" spans="1:11" x14ac:dyDescent="0.25">
      <c r="A57" t="s">
        <v>155</v>
      </c>
      <c r="B57" t="s">
        <v>50</v>
      </c>
      <c r="C57">
        <v>4916459</v>
      </c>
      <c r="D57" s="3" t="s">
        <v>27</v>
      </c>
      <c r="E57" s="4" t="s">
        <v>204</v>
      </c>
      <c r="F57" t="s">
        <v>146</v>
      </c>
      <c r="G57" t="s">
        <v>156</v>
      </c>
      <c r="H57" s="3"/>
      <c r="I57" s="4"/>
      <c r="J57" s="1"/>
      <c r="K57" s="2"/>
    </row>
    <row r="58" spans="1:11" x14ac:dyDescent="0.25">
      <c r="A58" t="s">
        <v>98</v>
      </c>
      <c r="B58" t="s">
        <v>50</v>
      </c>
      <c r="C58">
        <v>4916460</v>
      </c>
      <c r="D58" s="3" t="s">
        <v>8</v>
      </c>
      <c r="E58" s="4" t="s">
        <v>210</v>
      </c>
      <c r="F58" t="s">
        <v>99</v>
      </c>
      <c r="G58" t="s">
        <v>100</v>
      </c>
      <c r="H58" s="3"/>
      <c r="I58" s="4"/>
      <c r="J58" s="1"/>
      <c r="K58" s="2"/>
    </row>
    <row r="59" spans="1:11" x14ac:dyDescent="0.25">
      <c r="A59" t="s">
        <v>101</v>
      </c>
      <c r="B59" t="s">
        <v>50</v>
      </c>
      <c r="C59">
        <v>4916493</v>
      </c>
      <c r="D59" t="s">
        <v>101</v>
      </c>
      <c r="E59" s="4">
        <v>1</v>
      </c>
      <c r="F59" t="s">
        <v>102</v>
      </c>
      <c r="G59" t="s">
        <v>103</v>
      </c>
      <c r="H59" s="3"/>
      <c r="I59" s="4"/>
      <c r="J59" s="1"/>
      <c r="K59" s="2"/>
    </row>
    <row r="60" spans="1:11" x14ac:dyDescent="0.25">
      <c r="A60" t="s">
        <v>49</v>
      </c>
      <c r="B60" t="s">
        <v>50</v>
      </c>
      <c r="C60">
        <v>4916521</v>
      </c>
      <c r="D60" s="1" t="s">
        <v>0</v>
      </c>
      <c r="E60" s="4" t="s">
        <v>205</v>
      </c>
      <c r="F60" t="s">
        <v>51</v>
      </c>
      <c r="G60" t="s">
        <v>52</v>
      </c>
      <c r="H60" s="3"/>
      <c r="I60" s="4"/>
      <c r="J60" s="1"/>
    </row>
    <row r="61" spans="1:11" x14ac:dyDescent="0.25">
      <c r="A61" t="s">
        <v>81</v>
      </c>
      <c r="B61" t="s">
        <v>50</v>
      </c>
      <c r="C61">
        <v>4916623</v>
      </c>
      <c r="D61" t="s">
        <v>81</v>
      </c>
      <c r="E61" s="4" t="s">
        <v>210</v>
      </c>
      <c r="F61" t="s">
        <v>82</v>
      </c>
      <c r="G61" t="s">
        <v>83</v>
      </c>
      <c r="H61" s="3"/>
      <c r="J61" s="1"/>
      <c r="K61" s="2"/>
    </row>
    <row r="62" spans="1:11" x14ac:dyDescent="0.25">
      <c r="A62" t="s">
        <v>59</v>
      </c>
      <c r="B62" t="s">
        <v>50</v>
      </c>
      <c r="C62">
        <v>4916667</v>
      </c>
      <c r="D62" t="s">
        <v>60</v>
      </c>
      <c r="E62" s="4" t="s">
        <v>217</v>
      </c>
      <c r="F62" t="s">
        <v>61</v>
      </c>
      <c r="G62" t="s">
        <v>62</v>
      </c>
      <c r="H62" s="3"/>
      <c r="I62" s="4"/>
      <c r="J62" s="1"/>
      <c r="K62" s="2"/>
    </row>
    <row r="63" spans="1:11" x14ac:dyDescent="0.25">
      <c r="A63" t="s">
        <v>128</v>
      </c>
      <c r="B63" t="s">
        <v>50</v>
      </c>
      <c r="C63">
        <v>4916669</v>
      </c>
      <c r="D63" t="s">
        <v>14</v>
      </c>
      <c r="E63" s="4" t="s">
        <v>216</v>
      </c>
      <c r="F63" t="s">
        <v>124</v>
      </c>
      <c r="G63" t="s">
        <v>125</v>
      </c>
      <c r="H63" s="3"/>
      <c r="I63" s="4"/>
      <c r="J63" s="1"/>
      <c r="K63" s="2"/>
    </row>
    <row r="64" spans="1:11" x14ac:dyDescent="0.25">
      <c r="A64" t="s">
        <v>111</v>
      </c>
      <c r="B64" t="s">
        <v>112</v>
      </c>
      <c r="C64" s="5" t="s">
        <v>113</v>
      </c>
      <c r="D64" t="s">
        <v>111</v>
      </c>
      <c r="E64" s="4" t="s">
        <v>221</v>
      </c>
      <c r="F64" t="s">
        <v>113</v>
      </c>
      <c r="G64" t="s">
        <v>113</v>
      </c>
      <c r="H64" s="3"/>
      <c r="I64" s="4"/>
      <c r="J64" s="1"/>
      <c r="K64" s="2"/>
    </row>
    <row r="65" spans="1:11" x14ac:dyDescent="0.25">
      <c r="A65" t="s">
        <v>129</v>
      </c>
      <c r="B65" t="s">
        <v>50</v>
      </c>
      <c r="C65">
        <v>22203852</v>
      </c>
      <c r="D65" t="s">
        <v>15</v>
      </c>
      <c r="E65" s="4" t="s">
        <v>218</v>
      </c>
      <c r="F65" t="s">
        <v>124</v>
      </c>
      <c r="G65" t="s">
        <v>125</v>
      </c>
      <c r="H65" s="3"/>
      <c r="J65" s="1"/>
      <c r="K65" s="2"/>
    </row>
  </sheetData>
  <sortState xmlns:xlrd2="http://schemas.microsoft.com/office/spreadsheetml/2017/richdata2" ref="H2:M66">
    <sortCondition ref="J2:J66"/>
  </sortState>
  <conditionalFormatting sqref="D38">
    <cfRule type="duplicateValues" dxfId="4" priority="1"/>
  </conditionalFormatting>
  <conditionalFormatting sqref="H25:H59 S34 S32 S26:S30 H10:H13 H15:H23 H2:H3 H5:H8">
    <cfRule type="duplicateValues" dxfId="3" priority="3"/>
  </conditionalFormatting>
  <conditionalFormatting sqref="H39 H20 H10:H13 H15:H18 H2:H3 H5 H7:H8">
    <cfRule type="duplicateValues" dxfId="2" priority="2"/>
  </conditionalFormatting>
  <conditionalFormatting sqref="J3:J59 U34 U32 U26:U30">
    <cfRule type="duplicateValues" dxfId="1" priority="11"/>
  </conditionalFormatting>
  <conditionalFormatting sqref="J40 J21 J3 J5:J19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9990-F6EB-4079-9807-3DC74FA9CD4F}">
  <dimension ref="A1:K25"/>
  <sheetViews>
    <sheetView workbookViewId="0">
      <selection sqref="A1:F9"/>
    </sheetView>
  </sheetViews>
  <sheetFormatPr defaultRowHeight="15" x14ac:dyDescent="0.25"/>
  <cols>
    <col min="1" max="1" width="18.7109375" bestFit="1" customWidth="1"/>
    <col min="2" max="2" width="10.7109375" customWidth="1"/>
    <col min="3" max="4" width="18.85546875" bestFit="1" customWidth="1"/>
    <col min="5" max="5" width="12.7109375" bestFit="1" customWidth="1"/>
    <col min="6" max="6" width="11.5703125" bestFit="1" customWidth="1"/>
  </cols>
  <sheetData>
    <row r="1" spans="1:11" x14ac:dyDescent="0.25">
      <c r="A1" s="26"/>
      <c r="B1" s="48" t="s">
        <v>278</v>
      </c>
      <c r="C1" s="48"/>
      <c r="D1" s="48"/>
      <c r="E1" s="48"/>
      <c r="F1" s="48"/>
    </row>
    <row r="2" spans="1:11" x14ac:dyDescent="0.25">
      <c r="A2" s="23" t="s">
        <v>263</v>
      </c>
      <c r="B2" s="24" t="s">
        <v>279</v>
      </c>
      <c r="C2" s="24" t="s">
        <v>280</v>
      </c>
      <c r="D2" s="24" t="s">
        <v>295</v>
      </c>
      <c r="E2" s="25" t="s">
        <v>310</v>
      </c>
      <c r="F2" s="25" t="s">
        <v>309</v>
      </c>
    </row>
    <row r="3" spans="1:11" x14ac:dyDescent="0.25">
      <c r="A3" s="19" t="s">
        <v>264</v>
      </c>
      <c r="B3" s="20" t="s">
        <v>265</v>
      </c>
      <c r="C3" s="20" t="s">
        <v>281</v>
      </c>
      <c r="D3" s="16" t="s">
        <v>288</v>
      </c>
      <c r="E3" s="17" t="s">
        <v>296</v>
      </c>
      <c r="F3" s="17" t="s">
        <v>303</v>
      </c>
    </row>
    <row r="4" spans="1:11" x14ac:dyDescent="0.25">
      <c r="A4" s="19" t="s">
        <v>266</v>
      </c>
      <c r="B4" s="20" t="s">
        <v>267</v>
      </c>
      <c r="C4" s="20" t="s">
        <v>282</v>
      </c>
      <c r="D4" s="17" t="s">
        <v>289</v>
      </c>
      <c r="E4" s="17" t="s">
        <v>297</v>
      </c>
      <c r="F4" s="17" t="s">
        <v>304</v>
      </c>
    </row>
    <row r="5" spans="1:11" x14ac:dyDescent="0.25">
      <c r="A5" s="19" t="s">
        <v>268</v>
      </c>
      <c r="B5" s="20" t="s">
        <v>269</v>
      </c>
      <c r="C5" s="20" t="s">
        <v>283</v>
      </c>
      <c r="D5" s="17" t="s">
        <v>290</v>
      </c>
      <c r="E5" s="17" t="s">
        <v>298</v>
      </c>
      <c r="F5" s="17" t="s">
        <v>305</v>
      </c>
    </row>
    <row r="6" spans="1:11" x14ac:dyDescent="0.25">
      <c r="A6" s="19" t="s">
        <v>270</v>
      </c>
      <c r="B6" s="20" t="s">
        <v>271</v>
      </c>
      <c r="C6" s="20" t="s">
        <v>284</v>
      </c>
      <c r="D6" s="17" t="s">
        <v>291</v>
      </c>
      <c r="E6" s="17" t="s">
        <v>299</v>
      </c>
      <c r="F6" s="17" t="s">
        <v>306</v>
      </c>
    </row>
    <row r="7" spans="1:11" x14ac:dyDescent="0.25">
      <c r="A7" s="19" t="s">
        <v>272</v>
      </c>
      <c r="B7" s="20" t="s">
        <v>273</v>
      </c>
      <c r="C7" s="20" t="s">
        <v>285</v>
      </c>
      <c r="D7" s="17" t="s">
        <v>292</v>
      </c>
      <c r="E7" s="17" t="s">
        <v>300</v>
      </c>
      <c r="F7" s="17" t="s">
        <v>307</v>
      </c>
    </row>
    <row r="8" spans="1:11" x14ac:dyDescent="0.25">
      <c r="A8" s="19" t="s">
        <v>274</v>
      </c>
      <c r="B8" s="20" t="s">
        <v>275</v>
      </c>
      <c r="C8" s="20" t="s">
        <v>286</v>
      </c>
      <c r="D8" s="17" t="s">
        <v>293</v>
      </c>
      <c r="E8" s="17" t="s">
        <v>301</v>
      </c>
      <c r="F8" s="17" t="s">
        <v>308</v>
      </c>
    </row>
    <row r="9" spans="1:11" x14ac:dyDescent="0.25">
      <c r="A9" s="27" t="s">
        <v>276</v>
      </c>
      <c r="B9" s="28" t="s">
        <v>277</v>
      </c>
      <c r="C9" s="28" t="s">
        <v>287</v>
      </c>
      <c r="D9" s="29" t="s">
        <v>294</v>
      </c>
      <c r="E9" s="29" t="s">
        <v>302</v>
      </c>
      <c r="F9" s="29">
        <v>0</v>
      </c>
    </row>
    <row r="10" spans="1:11" x14ac:dyDescent="0.25">
      <c r="A10" s="20"/>
      <c r="B10" s="20"/>
      <c r="C10" s="18"/>
      <c r="D10" s="18"/>
    </row>
    <row r="11" spans="1:11" x14ac:dyDescent="0.25">
      <c r="A11" s="18"/>
      <c r="B11" s="18"/>
      <c r="C11" s="18"/>
      <c r="D11" s="18"/>
      <c r="H11" s="21"/>
    </row>
    <row r="12" spans="1:11" x14ac:dyDescent="0.25">
      <c r="A12" s="18"/>
      <c r="B12" s="18"/>
      <c r="C12" s="18"/>
      <c r="D12" s="18"/>
      <c r="G12" s="14"/>
      <c r="H12" s="22"/>
    </row>
    <row r="13" spans="1:11" x14ac:dyDescent="0.25">
      <c r="A13" s="18"/>
      <c r="B13" s="18"/>
      <c r="C13" s="18"/>
      <c r="D13" s="18"/>
      <c r="G13" s="15"/>
      <c r="H13" s="22"/>
    </row>
    <row r="14" spans="1:11" x14ac:dyDescent="0.25">
      <c r="A14" s="18"/>
      <c r="B14" s="18"/>
      <c r="C14" s="18"/>
      <c r="D14" s="18"/>
      <c r="F14" s="18"/>
      <c r="G14" s="21"/>
      <c r="H14" s="22"/>
      <c r="I14" s="18"/>
      <c r="J14" s="18"/>
      <c r="K14" s="18"/>
    </row>
    <row r="15" spans="1:11" x14ac:dyDescent="0.25">
      <c r="F15" s="18"/>
      <c r="G15" s="22"/>
      <c r="H15" s="22"/>
      <c r="I15" s="18"/>
      <c r="J15" s="18"/>
      <c r="K15" s="18"/>
    </row>
    <row r="16" spans="1:11" x14ac:dyDescent="0.25">
      <c r="F16" s="18"/>
      <c r="G16" s="22"/>
      <c r="H16" s="22"/>
      <c r="I16" s="18"/>
      <c r="J16" s="18"/>
      <c r="K16" s="18"/>
    </row>
    <row r="17" spans="6:11" x14ac:dyDescent="0.25">
      <c r="F17" s="18"/>
      <c r="G17" s="22"/>
      <c r="H17" s="22"/>
      <c r="I17" s="18"/>
      <c r="J17" s="18"/>
      <c r="K17" s="18"/>
    </row>
    <row r="18" spans="6:11" x14ac:dyDescent="0.25">
      <c r="F18" s="18"/>
      <c r="G18" s="22"/>
      <c r="H18" s="18"/>
      <c r="I18" s="18"/>
      <c r="J18" s="18"/>
      <c r="K18" s="18"/>
    </row>
    <row r="19" spans="6:11" x14ac:dyDescent="0.25">
      <c r="F19" s="18"/>
      <c r="G19" s="22"/>
      <c r="H19" s="18"/>
      <c r="I19" s="18"/>
      <c r="J19" s="18"/>
      <c r="K19" s="18"/>
    </row>
    <row r="20" spans="6:11" x14ac:dyDescent="0.25">
      <c r="F20" s="18"/>
      <c r="G20" s="22"/>
      <c r="H20" s="18"/>
      <c r="I20" s="18"/>
      <c r="J20" s="18"/>
      <c r="K20" s="18"/>
    </row>
    <row r="21" spans="6:11" x14ac:dyDescent="0.25">
      <c r="F21" s="18"/>
      <c r="G21" s="22"/>
      <c r="H21" s="18"/>
      <c r="I21" s="18"/>
      <c r="J21" s="18"/>
      <c r="K21" s="18"/>
    </row>
    <row r="22" spans="6:11" x14ac:dyDescent="0.25">
      <c r="F22" s="18"/>
      <c r="G22" s="18"/>
      <c r="H22" s="18"/>
      <c r="I22" s="18"/>
      <c r="J22" s="18"/>
      <c r="K22" s="18"/>
    </row>
    <row r="23" spans="6:11" x14ac:dyDescent="0.25">
      <c r="F23" s="18"/>
      <c r="G23" s="18"/>
      <c r="H23" s="18"/>
      <c r="I23" s="18"/>
      <c r="J23" s="18"/>
      <c r="K23" s="18"/>
    </row>
    <row r="24" spans="6:11" x14ac:dyDescent="0.25">
      <c r="F24" s="18"/>
      <c r="G24" s="18"/>
      <c r="H24" s="18"/>
      <c r="I24" s="18"/>
      <c r="J24" s="18"/>
      <c r="K24" s="18"/>
    </row>
    <row r="25" spans="6:11" x14ac:dyDescent="0.25">
      <c r="F25" s="18"/>
      <c r="G25" s="18"/>
      <c r="H25" s="18"/>
      <c r="I25" s="18"/>
      <c r="J25" s="18"/>
      <c r="K25" s="18"/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55F8-E723-4EB4-9908-92E8B4327F36}">
  <dimension ref="A1:G8"/>
  <sheetViews>
    <sheetView workbookViewId="0">
      <selection activeCell="E1" sqref="E1"/>
    </sheetView>
  </sheetViews>
  <sheetFormatPr defaultRowHeight="15" x14ac:dyDescent="0.25"/>
  <cols>
    <col min="2" max="2" width="14.7109375" bestFit="1" customWidth="1"/>
    <col min="3" max="4" width="13.7109375" bestFit="1" customWidth="1"/>
    <col min="5" max="5" width="15.28515625" customWidth="1"/>
  </cols>
  <sheetData>
    <row r="1" spans="1:7" x14ac:dyDescent="0.25">
      <c r="B1" t="s">
        <v>312</v>
      </c>
      <c r="C1" t="s">
        <v>313</v>
      </c>
      <c r="D1" t="s">
        <v>314</v>
      </c>
      <c r="E1" t="s">
        <v>319</v>
      </c>
      <c r="F1">
        <v>0.1</v>
      </c>
      <c r="G1" t="s">
        <v>316</v>
      </c>
    </row>
    <row r="2" spans="1:7" x14ac:dyDescent="0.25">
      <c r="A2" t="s">
        <v>311</v>
      </c>
      <c r="B2" t="s">
        <v>315</v>
      </c>
      <c r="C2" t="s">
        <v>315</v>
      </c>
      <c r="D2" t="s">
        <v>315</v>
      </c>
    </row>
    <row r="3" spans="1:7" x14ac:dyDescent="0.25">
      <c r="A3" s="30">
        <v>0.01</v>
      </c>
      <c r="B3" t="s">
        <v>315</v>
      </c>
      <c r="C3" t="s">
        <v>315</v>
      </c>
      <c r="D3" t="s">
        <v>315</v>
      </c>
    </row>
    <row r="4" spans="1:7" x14ac:dyDescent="0.25">
      <c r="A4" s="30">
        <v>1E-3</v>
      </c>
      <c r="B4" s="31">
        <v>320</v>
      </c>
      <c r="C4" s="31">
        <v>150</v>
      </c>
      <c r="D4" s="31">
        <v>322</v>
      </c>
    </row>
    <row r="5" spans="1:7" x14ac:dyDescent="0.25">
      <c r="A5" s="30">
        <v>1E-4</v>
      </c>
      <c r="B5" s="31">
        <v>106</v>
      </c>
      <c r="C5" s="31">
        <v>61</v>
      </c>
      <c r="D5" s="31">
        <v>66</v>
      </c>
    </row>
    <row r="6" spans="1:7" x14ac:dyDescent="0.25">
      <c r="A6" s="30">
        <v>1.0000000000000001E-5</v>
      </c>
      <c r="B6" s="31">
        <v>49</v>
      </c>
      <c r="C6" s="31">
        <v>6</v>
      </c>
      <c r="D6" s="31">
        <v>16</v>
      </c>
    </row>
    <row r="7" spans="1:7" x14ac:dyDescent="0.25">
      <c r="A7" t="s">
        <v>317</v>
      </c>
      <c r="B7" s="31">
        <f>(B4/(A4*F1)+B5/(A5*F1)+B6/(A6*F1))/3</f>
        <v>20933333.333333332</v>
      </c>
      <c r="C7" s="31">
        <f>(C4/(A4*F1)+C5/(A5*F1)+C6/(A6*F1))/3</f>
        <v>4533333.333333333</v>
      </c>
      <c r="D7" s="31">
        <f>(D4/(A4*F1)+D5/(A5*F1)+D6/(A6*F1))/3</f>
        <v>8606666.666666666</v>
      </c>
    </row>
    <row r="8" spans="1:7" x14ac:dyDescent="0.25">
      <c r="A8" t="s">
        <v>318</v>
      </c>
      <c r="B8" s="32">
        <v>20933333.333333332</v>
      </c>
      <c r="C8" s="32">
        <v>4533333.333333333</v>
      </c>
      <c r="D8" s="32">
        <v>8606666.666666666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9C68-1E13-46D6-A886-AFAC0C6F13C8}">
  <dimension ref="A1:M1048576"/>
  <sheetViews>
    <sheetView workbookViewId="0">
      <selection activeCell="I1" sqref="I1"/>
    </sheetView>
  </sheetViews>
  <sheetFormatPr defaultRowHeight="15" x14ac:dyDescent="0.25"/>
  <cols>
    <col min="1" max="1" width="15.28515625" style="36" bestFit="1" customWidth="1"/>
    <col min="2" max="2" width="14.85546875" style="33" bestFit="1" customWidth="1"/>
    <col min="3" max="3" width="33.28515625" style="44" bestFit="1" customWidth="1"/>
    <col min="4" max="4" width="10.140625" style="43" bestFit="1" customWidth="1"/>
    <col min="5" max="5" width="10.140625" style="43" customWidth="1"/>
    <col min="6" max="6" width="19.42578125" bestFit="1" customWidth="1"/>
    <col min="7" max="7" width="26.42578125" bestFit="1" customWidth="1"/>
    <col min="8" max="8" width="15.28515625" bestFit="1" customWidth="1"/>
    <col min="9" max="9" width="37.42578125" customWidth="1"/>
    <col min="10" max="10" width="11.85546875" customWidth="1"/>
  </cols>
  <sheetData>
    <row r="1" spans="1:13" s="6" customFormat="1" x14ac:dyDescent="0.25">
      <c r="A1" s="38" t="s">
        <v>320</v>
      </c>
      <c r="B1" s="39" t="s">
        <v>322</v>
      </c>
      <c r="C1" s="39" t="s">
        <v>334</v>
      </c>
      <c r="D1" s="39" t="s">
        <v>321</v>
      </c>
      <c r="E1" s="42" t="s">
        <v>339</v>
      </c>
      <c r="F1" s="47" t="s">
        <v>331</v>
      </c>
      <c r="G1" s="39" t="s">
        <v>335</v>
      </c>
      <c r="I1" s="38" t="s">
        <v>323</v>
      </c>
      <c r="J1" s="38" t="s">
        <v>330</v>
      </c>
      <c r="K1" s="38" t="s">
        <v>312</v>
      </c>
      <c r="L1" s="38" t="s">
        <v>313</v>
      </c>
      <c r="M1" s="38" t="s">
        <v>329</v>
      </c>
    </row>
    <row r="2" spans="1:13" x14ac:dyDescent="0.25">
      <c r="A2" s="50" t="s">
        <v>312</v>
      </c>
      <c r="B2" s="33">
        <v>69</v>
      </c>
      <c r="C2" s="44" t="s">
        <v>325</v>
      </c>
      <c r="D2" s="34">
        <v>1.98</v>
      </c>
      <c r="E2" s="34"/>
      <c r="F2" s="35"/>
      <c r="G2" s="35"/>
      <c r="I2" s="46" t="s">
        <v>325</v>
      </c>
      <c r="J2" s="6">
        <f>COUNTIF($C$2:$C$191,I2)</f>
        <v>24</v>
      </c>
      <c r="K2" s="6">
        <f>COUNTIF($C$2:$C$58,I2)</f>
        <v>23</v>
      </c>
      <c r="L2" s="6">
        <f>COUNTIF($C$59:$C$128,I2)</f>
        <v>0</v>
      </c>
      <c r="M2" s="6">
        <f>COUNTIF($C$129:$C$191,I2)</f>
        <v>1</v>
      </c>
    </row>
    <row r="3" spans="1:13" x14ac:dyDescent="0.25">
      <c r="A3" s="50"/>
      <c r="B3" s="33">
        <v>70</v>
      </c>
      <c r="C3" s="44" t="s">
        <v>326</v>
      </c>
      <c r="D3" s="34">
        <v>1.82</v>
      </c>
      <c r="E3" s="34"/>
      <c r="F3" s="35"/>
      <c r="G3" s="35"/>
      <c r="H3" s="35"/>
      <c r="I3" s="46" t="s">
        <v>326</v>
      </c>
      <c r="J3" s="6">
        <f>COUNTIF($C$2:$C$191,I3)</f>
        <v>11</v>
      </c>
      <c r="K3" s="6">
        <f t="shared" ref="K3:K5" si="0">COUNTIF($C$2:$C$58,I3)</f>
        <v>4</v>
      </c>
      <c r="L3" s="6">
        <f t="shared" ref="L3:L5" si="1">COUNTIF($C$59:$C$128,I3)</f>
        <v>2</v>
      </c>
      <c r="M3" s="6">
        <f t="shared" ref="M3:M5" si="2">COUNTIF($C$129:$C$191,I3)</f>
        <v>5</v>
      </c>
    </row>
    <row r="4" spans="1:13" x14ac:dyDescent="0.25">
      <c r="A4" s="50"/>
      <c r="B4" s="33">
        <v>71</v>
      </c>
      <c r="D4" s="34"/>
      <c r="E4" s="34"/>
      <c r="F4" s="35"/>
      <c r="G4" s="35"/>
      <c r="H4" s="35"/>
      <c r="I4" s="46" t="s">
        <v>324</v>
      </c>
      <c r="J4" s="6">
        <f>COUNTIF($C$2:$C$191,I4)</f>
        <v>87</v>
      </c>
      <c r="K4" s="6">
        <f t="shared" si="0"/>
        <v>19</v>
      </c>
      <c r="L4" s="6">
        <f t="shared" si="1"/>
        <v>42</v>
      </c>
      <c r="M4" s="6">
        <f t="shared" si="2"/>
        <v>26</v>
      </c>
    </row>
    <row r="5" spans="1:13" x14ac:dyDescent="0.25">
      <c r="A5" s="50"/>
      <c r="B5" s="33">
        <v>72</v>
      </c>
      <c r="C5" s="34" t="s">
        <v>327</v>
      </c>
      <c r="D5" s="34">
        <v>1.37</v>
      </c>
      <c r="E5" s="34"/>
      <c r="F5" s="35"/>
      <c r="G5" s="35"/>
      <c r="H5" s="35"/>
      <c r="I5" s="33" t="s">
        <v>327</v>
      </c>
      <c r="J5" s="6">
        <f>COUNTIF($C$2:$C$191,I5)</f>
        <v>20</v>
      </c>
      <c r="K5" s="6">
        <f t="shared" si="0"/>
        <v>7</v>
      </c>
      <c r="L5" s="6">
        <f t="shared" si="1"/>
        <v>7</v>
      </c>
      <c r="M5" s="6">
        <f t="shared" si="2"/>
        <v>6</v>
      </c>
    </row>
    <row r="6" spans="1:13" x14ac:dyDescent="0.25">
      <c r="A6" s="50"/>
      <c r="B6" s="33">
        <v>73</v>
      </c>
      <c r="C6" s="44" t="s">
        <v>324</v>
      </c>
      <c r="D6" s="34">
        <v>2.0099999999999998</v>
      </c>
      <c r="E6" s="34" t="s">
        <v>340</v>
      </c>
      <c r="F6" s="35" t="s">
        <v>333</v>
      </c>
      <c r="G6" s="44" t="s">
        <v>324</v>
      </c>
      <c r="H6" s="35"/>
      <c r="I6" s="42" t="s">
        <v>328</v>
      </c>
      <c r="J6" s="47">
        <f t="shared" ref="J6" si="3">COUNTIF($C$2:$C$191,I6)</f>
        <v>0</v>
      </c>
      <c r="K6" s="47">
        <f>COUNTIF($C$2:$C$58,"")</f>
        <v>4</v>
      </c>
      <c r="L6" s="47">
        <f>COUNTIF($C$59:$C$128,"")</f>
        <v>19</v>
      </c>
      <c r="M6" s="47">
        <f>COUNTIF($C$129:$C$191,"")</f>
        <v>25</v>
      </c>
    </row>
    <row r="7" spans="1:13" x14ac:dyDescent="0.25">
      <c r="A7" s="50"/>
      <c r="B7" s="33">
        <v>74</v>
      </c>
      <c r="C7" s="44" t="s">
        <v>325</v>
      </c>
      <c r="D7" s="34">
        <v>2.14</v>
      </c>
      <c r="E7" s="34"/>
      <c r="F7" s="35"/>
      <c r="G7" s="35"/>
      <c r="H7" s="35"/>
    </row>
    <row r="8" spans="1:13" x14ac:dyDescent="0.25">
      <c r="A8" s="50"/>
      <c r="B8" s="33">
        <v>75</v>
      </c>
      <c r="C8" s="44" t="s">
        <v>324</v>
      </c>
      <c r="D8" s="34">
        <v>1.99</v>
      </c>
      <c r="E8" s="34" t="s">
        <v>340</v>
      </c>
      <c r="F8" s="35" t="s">
        <v>332</v>
      </c>
      <c r="G8" s="44" t="s">
        <v>324</v>
      </c>
      <c r="H8" s="35"/>
      <c r="I8" s="35"/>
      <c r="J8" s="35"/>
    </row>
    <row r="9" spans="1:13" x14ac:dyDescent="0.25">
      <c r="A9" s="50"/>
      <c r="B9" s="33">
        <v>76</v>
      </c>
      <c r="C9" s="44" t="s">
        <v>325</v>
      </c>
      <c r="D9" s="34">
        <v>1.9</v>
      </c>
      <c r="E9" s="34"/>
      <c r="F9" s="35"/>
      <c r="G9" s="35"/>
      <c r="H9" s="35"/>
      <c r="I9" s="35">
        <f>COUNTIF(G:G,G6)</f>
        <v>45</v>
      </c>
      <c r="J9" s="35"/>
    </row>
    <row r="10" spans="1:13" x14ac:dyDescent="0.25">
      <c r="A10" s="50"/>
      <c r="B10" s="33">
        <v>77</v>
      </c>
      <c r="C10" s="44" t="s">
        <v>324</v>
      </c>
      <c r="D10" s="34">
        <v>2</v>
      </c>
      <c r="E10" s="34" t="s">
        <v>340</v>
      </c>
      <c r="F10" s="35" t="s">
        <v>332</v>
      </c>
      <c r="G10" s="44" t="s">
        <v>324</v>
      </c>
    </row>
    <row r="11" spans="1:13" x14ac:dyDescent="0.25">
      <c r="A11" s="50"/>
      <c r="B11" s="33">
        <v>78</v>
      </c>
      <c r="C11" s="44" t="s">
        <v>324</v>
      </c>
      <c r="D11" s="34">
        <v>2.0499999999999998</v>
      </c>
      <c r="E11" s="34"/>
      <c r="F11" s="35" t="s">
        <v>337</v>
      </c>
      <c r="G11" s="44"/>
    </row>
    <row r="12" spans="1:13" x14ac:dyDescent="0.25">
      <c r="A12" s="50"/>
      <c r="B12" s="33">
        <v>79</v>
      </c>
      <c r="C12" s="44" t="s">
        <v>325</v>
      </c>
      <c r="D12" s="34">
        <v>2.0299999999999998</v>
      </c>
      <c r="E12" s="34"/>
      <c r="F12" s="35"/>
      <c r="G12" s="35"/>
    </row>
    <row r="13" spans="1:13" x14ac:dyDescent="0.25">
      <c r="A13" s="50"/>
      <c r="B13" s="33">
        <v>80</v>
      </c>
      <c r="C13" s="44" t="s">
        <v>325</v>
      </c>
      <c r="D13" s="34">
        <v>1.85</v>
      </c>
      <c r="E13" s="34"/>
      <c r="F13" s="35"/>
      <c r="G13" s="35"/>
    </row>
    <row r="14" spans="1:13" x14ac:dyDescent="0.25">
      <c r="A14" s="50"/>
      <c r="B14" s="33">
        <v>81</v>
      </c>
      <c r="C14" s="44" t="s">
        <v>325</v>
      </c>
      <c r="D14" s="34">
        <v>2.0099999999999998</v>
      </c>
      <c r="E14" s="34"/>
      <c r="F14" s="35"/>
      <c r="G14" s="35"/>
    </row>
    <row r="15" spans="1:13" x14ac:dyDescent="0.25">
      <c r="A15" s="50"/>
      <c r="B15" s="33">
        <v>82</v>
      </c>
      <c r="C15" s="44" t="s">
        <v>325</v>
      </c>
      <c r="D15" s="34">
        <v>2.0099999999999998</v>
      </c>
      <c r="E15" s="34"/>
      <c r="F15" s="35"/>
      <c r="G15" s="35"/>
    </row>
    <row r="16" spans="1:13" x14ac:dyDescent="0.25">
      <c r="A16" s="50"/>
      <c r="B16" s="33">
        <v>83</v>
      </c>
      <c r="C16" s="44" t="s">
        <v>326</v>
      </c>
      <c r="D16" s="34">
        <v>1.94</v>
      </c>
      <c r="E16" s="34"/>
      <c r="F16" s="35"/>
      <c r="G16" s="35"/>
    </row>
    <row r="17" spans="1:7" x14ac:dyDescent="0.25">
      <c r="A17" s="50"/>
      <c r="B17" s="33">
        <v>84</v>
      </c>
      <c r="C17" s="44" t="s">
        <v>325</v>
      </c>
      <c r="D17" s="34">
        <v>2.0699999999999998</v>
      </c>
      <c r="E17" s="34"/>
      <c r="F17" s="35"/>
      <c r="G17" s="35"/>
    </row>
    <row r="18" spans="1:7" x14ac:dyDescent="0.25">
      <c r="A18" s="50"/>
      <c r="B18" s="33">
        <v>85</v>
      </c>
      <c r="C18" s="34" t="s">
        <v>327</v>
      </c>
      <c r="D18" s="34">
        <v>1.45</v>
      </c>
      <c r="E18" s="34"/>
      <c r="F18" s="35"/>
      <c r="G18" s="35"/>
    </row>
    <row r="19" spans="1:7" x14ac:dyDescent="0.25">
      <c r="A19" s="50"/>
      <c r="B19" s="33">
        <v>86</v>
      </c>
      <c r="C19" s="44" t="s">
        <v>325</v>
      </c>
      <c r="D19" s="34">
        <v>1.79</v>
      </c>
      <c r="E19" s="34"/>
      <c r="F19" s="35"/>
      <c r="G19" s="35"/>
    </row>
    <row r="20" spans="1:7" x14ac:dyDescent="0.25">
      <c r="A20" s="50"/>
      <c r="B20" s="33">
        <v>87</v>
      </c>
      <c r="C20" s="44" t="s">
        <v>324</v>
      </c>
      <c r="D20" s="34">
        <v>1.85</v>
      </c>
      <c r="E20" s="34"/>
      <c r="F20" s="35" t="s">
        <v>337</v>
      </c>
      <c r="G20" s="44"/>
    </row>
    <row r="21" spans="1:7" x14ac:dyDescent="0.25">
      <c r="A21" s="50"/>
      <c r="B21" s="33">
        <v>88</v>
      </c>
      <c r="C21" s="34" t="s">
        <v>327</v>
      </c>
      <c r="D21" s="34">
        <v>1.32</v>
      </c>
      <c r="E21" s="34"/>
      <c r="F21" s="35"/>
      <c r="G21" s="35"/>
    </row>
    <row r="22" spans="1:7" x14ac:dyDescent="0.25">
      <c r="A22" s="50"/>
      <c r="B22" s="33">
        <v>89</v>
      </c>
      <c r="C22" s="44" t="s">
        <v>325</v>
      </c>
      <c r="D22" s="34">
        <v>2.21</v>
      </c>
      <c r="E22" s="34"/>
      <c r="F22" s="35"/>
      <c r="G22" s="35"/>
    </row>
    <row r="23" spans="1:7" x14ac:dyDescent="0.25">
      <c r="A23" s="50"/>
      <c r="B23" s="33">
        <v>90</v>
      </c>
      <c r="C23" s="44" t="s">
        <v>325</v>
      </c>
      <c r="D23" s="34">
        <v>1.99</v>
      </c>
      <c r="E23" s="34"/>
      <c r="F23" s="35"/>
      <c r="G23" s="35"/>
    </row>
    <row r="24" spans="1:7" x14ac:dyDescent="0.25">
      <c r="A24" s="50"/>
      <c r="B24" s="33">
        <v>91</v>
      </c>
      <c r="C24" s="44" t="s">
        <v>325</v>
      </c>
      <c r="D24" s="34">
        <v>1.97</v>
      </c>
      <c r="E24" s="34"/>
      <c r="F24" s="35"/>
      <c r="G24" s="35"/>
    </row>
    <row r="25" spans="1:7" x14ac:dyDescent="0.25">
      <c r="A25" s="50"/>
      <c r="B25" s="33">
        <v>92</v>
      </c>
      <c r="C25" s="34" t="s">
        <v>327</v>
      </c>
      <c r="D25" s="34">
        <v>1.39</v>
      </c>
      <c r="E25" s="34"/>
      <c r="F25" s="35"/>
      <c r="G25" s="35"/>
    </row>
    <row r="26" spans="1:7" x14ac:dyDescent="0.25">
      <c r="A26" s="50"/>
      <c r="B26" s="33">
        <v>93</v>
      </c>
      <c r="C26" s="44" t="s">
        <v>325</v>
      </c>
      <c r="D26" s="34">
        <v>2.14</v>
      </c>
      <c r="E26" s="34"/>
      <c r="F26" s="35"/>
      <c r="G26" s="35"/>
    </row>
    <row r="27" spans="1:7" x14ac:dyDescent="0.25">
      <c r="A27" s="50"/>
      <c r="B27" s="33">
        <v>94</v>
      </c>
      <c r="C27" s="44" t="s">
        <v>324</v>
      </c>
      <c r="D27" s="34">
        <v>1.99</v>
      </c>
      <c r="E27" s="34" t="s">
        <v>340</v>
      </c>
      <c r="F27" s="35" t="s">
        <v>333</v>
      </c>
      <c r="G27" s="44" t="s">
        <v>325</v>
      </c>
    </row>
    <row r="28" spans="1:7" x14ac:dyDescent="0.25">
      <c r="A28" s="50"/>
      <c r="B28" s="33">
        <v>95</v>
      </c>
      <c r="C28" s="44" t="s">
        <v>325</v>
      </c>
      <c r="D28" s="34">
        <v>1.95</v>
      </c>
      <c r="E28" s="34"/>
      <c r="F28" s="35"/>
      <c r="G28" s="35"/>
    </row>
    <row r="29" spans="1:7" x14ac:dyDescent="0.25">
      <c r="A29" s="50"/>
      <c r="B29" s="33">
        <v>96</v>
      </c>
      <c r="C29" s="44" t="s">
        <v>324</v>
      </c>
      <c r="D29" s="34">
        <v>2.02</v>
      </c>
      <c r="E29" s="34"/>
      <c r="F29" s="35" t="s">
        <v>338</v>
      </c>
      <c r="G29" s="44"/>
    </row>
    <row r="30" spans="1:7" x14ac:dyDescent="0.25">
      <c r="A30" s="50"/>
      <c r="B30" s="33">
        <v>97</v>
      </c>
      <c r="C30" s="44" t="s">
        <v>324</v>
      </c>
      <c r="D30" s="34">
        <v>1.92</v>
      </c>
      <c r="E30" s="34" t="s">
        <v>340</v>
      </c>
      <c r="F30" s="35" t="s">
        <v>332</v>
      </c>
      <c r="G30" s="44" t="s">
        <v>324</v>
      </c>
    </row>
    <row r="31" spans="1:7" x14ac:dyDescent="0.25">
      <c r="A31" s="50"/>
      <c r="B31" s="33">
        <v>98</v>
      </c>
      <c r="C31" s="44" t="s">
        <v>324</v>
      </c>
      <c r="D31" s="34">
        <v>2.08</v>
      </c>
      <c r="E31" s="34" t="s">
        <v>340</v>
      </c>
      <c r="F31" s="35" t="s">
        <v>333</v>
      </c>
      <c r="G31" s="44" t="s">
        <v>324</v>
      </c>
    </row>
    <row r="32" spans="1:7" x14ac:dyDescent="0.25">
      <c r="A32" s="50"/>
      <c r="B32" s="33">
        <v>99</v>
      </c>
      <c r="C32" s="44" t="s">
        <v>324</v>
      </c>
      <c r="D32" s="34">
        <v>2.0699999999999998</v>
      </c>
      <c r="E32" s="34"/>
      <c r="F32" s="35" t="s">
        <v>337</v>
      </c>
      <c r="G32" s="44"/>
    </row>
    <row r="33" spans="1:7" x14ac:dyDescent="0.25">
      <c r="A33" s="50"/>
      <c r="B33" s="33">
        <v>100</v>
      </c>
      <c r="C33" s="44" t="s">
        <v>326</v>
      </c>
      <c r="D33" s="34">
        <v>1.72</v>
      </c>
      <c r="E33" s="34"/>
      <c r="F33" s="35"/>
      <c r="G33" s="35"/>
    </row>
    <row r="34" spans="1:7" x14ac:dyDescent="0.25">
      <c r="A34" s="50"/>
      <c r="B34" s="33">
        <v>101</v>
      </c>
      <c r="C34" s="44" t="s">
        <v>324</v>
      </c>
      <c r="D34" s="34">
        <v>2.0699999999999998</v>
      </c>
      <c r="E34" s="34"/>
      <c r="F34" s="35" t="s">
        <v>337</v>
      </c>
      <c r="G34" s="44"/>
    </row>
    <row r="35" spans="1:7" x14ac:dyDescent="0.25">
      <c r="A35" s="50"/>
      <c r="B35" s="33">
        <v>102</v>
      </c>
      <c r="C35" s="44" t="s">
        <v>324</v>
      </c>
      <c r="D35" s="34">
        <v>2</v>
      </c>
      <c r="E35" s="34" t="s">
        <v>340</v>
      </c>
      <c r="F35" s="35" t="s">
        <v>332</v>
      </c>
      <c r="G35" s="44" t="s">
        <v>324</v>
      </c>
    </row>
    <row r="36" spans="1:7" x14ac:dyDescent="0.25">
      <c r="A36" s="50"/>
      <c r="B36" s="33">
        <v>103</v>
      </c>
      <c r="C36" s="44" t="s">
        <v>325</v>
      </c>
      <c r="D36" s="34">
        <v>1.84</v>
      </c>
      <c r="E36" s="34"/>
      <c r="F36" s="35"/>
      <c r="G36" s="35"/>
    </row>
    <row r="37" spans="1:7" x14ac:dyDescent="0.25">
      <c r="A37" s="50"/>
      <c r="B37" s="33">
        <v>104</v>
      </c>
      <c r="C37" s="44" t="s">
        <v>325</v>
      </c>
      <c r="D37" s="34">
        <v>2.08</v>
      </c>
      <c r="E37" s="34"/>
      <c r="F37" s="35"/>
      <c r="G37" s="35"/>
    </row>
    <row r="38" spans="1:7" x14ac:dyDescent="0.25">
      <c r="A38" s="50"/>
      <c r="B38" s="33">
        <v>105</v>
      </c>
      <c r="D38" s="34"/>
      <c r="E38" s="34"/>
      <c r="F38" s="35"/>
      <c r="G38" s="35"/>
    </row>
    <row r="39" spans="1:7" x14ac:dyDescent="0.25">
      <c r="A39" s="50"/>
      <c r="B39" s="33">
        <v>106</v>
      </c>
      <c r="C39" s="34" t="s">
        <v>327</v>
      </c>
      <c r="D39" s="34">
        <v>1.32</v>
      </c>
      <c r="E39" s="34"/>
      <c r="F39" s="35"/>
      <c r="G39" s="35"/>
    </row>
    <row r="40" spans="1:7" x14ac:dyDescent="0.25">
      <c r="A40" s="50"/>
      <c r="B40" s="33">
        <v>107</v>
      </c>
      <c r="C40" s="44" t="s">
        <v>325</v>
      </c>
      <c r="D40" s="34">
        <v>2.06</v>
      </c>
      <c r="E40" s="34"/>
      <c r="F40" s="35"/>
      <c r="G40" s="35"/>
    </row>
    <row r="41" spans="1:7" x14ac:dyDescent="0.25">
      <c r="A41" s="50"/>
      <c r="B41" s="33">
        <v>108</v>
      </c>
      <c r="C41" s="44" t="s">
        <v>325</v>
      </c>
      <c r="D41" s="34">
        <v>2.0299999999999998</v>
      </c>
      <c r="E41" s="34"/>
      <c r="F41" s="35"/>
      <c r="G41" s="35"/>
    </row>
    <row r="42" spans="1:7" x14ac:dyDescent="0.25">
      <c r="A42" s="50"/>
      <c r="B42" s="33">
        <v>109</v>
      </c>
      <c r="C42" s="44" t="s">
        <v>325</v>
      </c>
      <c r="D42" s="34">
        <v>2.11</v>
      </c>
      <c r="E42" s="34"/>
      <c r="F42" s="35"/>
      <c r="G42" s="35"/>
    </row>
    <row r="43" spans="1:7" x14ac:dyDescent="0.25">
      <c r="A43" s="50"/>
      <c r="B43" s="33">
        <v>110</v>
      </c>
      <c r="C43" s="44" t="s">
        <v>324</v>
      </c>
      <c r="D43" s="34">
        <v>2.06</v>
      </c>
      <c r="E43" s="34"/>
      <c r="F43" s="35" t="s">
        <v>337</v>
      </c>
      <c r="G43" s="44"/>
    </row>
    <row r="44" spans="1:7" x14ac:dyDescent="0.25">
      <c r="A44" s="50"/>
      <c r="B44" s="33">
        <v>111</v>
      </c>
      <c r="C44" s="34" t="s">
        <v>327</v>
      </c>
      <c r="D44" s="34">
        <v>1.54</v>
      </c>
      <c r="E44" s="34"/>
      <c r="F44" s="35"/>
      <c r="G44" s="35"/>
    </row>
    <row r="45" spans="1:7" x14ac:dyDescent="0.25">
      <c r="A45" s="50"/>
      <c r="B45" s="33">
        <v>112</v>
      </c>
      <c r="C45" s="44" t="s">
        <v>324</v>
      </c>
      <c r="D45" s="34">
        <v>2.14</v>
      </c>
      <c r="E45" s="34"/>
      <c r="F45" s="35" t="s">
        <v>337</v>
      </c>
      <c r="G45" s="44"/>
    </row>
    <row r="46" spans="1:7" x14ac:dyDescent="0.25">
      <c r="A46" s="50"/>
      <c r="B46" s="33">
        <v>113</v>
      </c>
      <c r="D46" s="34"/>
      <c r="E46" s="34"/>
      <c r="F46" s="35"/>
      <c r="G46" s="35"/>
    </row>
    <row r="47" spans="1:7" x14ac:dyDescent="0.25">
      <c r="A47" s="50"/>
      <c r="B47" s="33">
        <v>114</v>
      </c>
      <c r="C47" s="34" t="s">
        <v>327</v>
      </c>
      <c r="D47" s="34">
        <v>1.57</v>
      </c>
      <c r="E47" s="34"/>
      <c r="F47" s="35"/>
      <c r="G47" s="35"/>
    </row>
    <row r="48" spans="1:7" x14ac:dyDescent="0.25">
      <c r="A48" s="50"/>
      <c r="B48" s="33">
        <v>115</v>
      </c>
      <c r="C48" s="44" t="s">
        <v>324</v>
      </c>
      <c r="D48" s="34">
        <v>1.97</v>
      </c>
      <c r="E48" s="34"/>
      <c r="F48" s="35" t="s">
        <v>337</v>
      </c>
      <c r="G48" s="44"/>
    </row>
    <row r="49" spans="1:7" x14ac:dyDescent="0.25">
      <c r="A49" s="50"/>
      <c r="B49" s="33">
        <v>116</v>
      </c>
      <c r="C49" s="44" t="s">
        <v>325</v>
      </c>
      <c r="D49" s="34">
        <v>1.95</v>
      </c>
      <c r="E49" s="34"/>
      <c r="F49" s="35"/>
      <c r="G49" s="35"/>
    </row>
    <row r="50" spans="1:7" x14ac:dyDescent="0.25">
      <c r="A50" s="50"/>
      <c r="B50" s="33">
        <v>117</v>
      </c>
      <c r="D50" s="34"/>
      <c r="E50" s="34"/>
      <c r="F50" s="35"/>
      <c r="G50" s="35"/>
    </row>
    <row r="51" spans="1:7" x14ac:dyDescent="0.25">
      <c r="A51" s="50"/>
      <c r="B51" s="33">
        <v>118</v>
      </c>
      <c r="C51" s="44" t="s">
        <v>324</v>
      </c>
      <c r="D51" s="34">
        <v>1.85</v>
      </c>
      <c r="E51" s="34" t="s">
        <v>340</v>
      </c>
      <c r="F51" s="35" t="s">
        <v>333</v>
      </c>
      <c r="G51" s="44" t="s">
        <v>324</v>
      </c>
    </row>
    <row r="52" spans="1:7" x14ac:dyDescent="0.25">
      <c r="A52" s="50"/>
      <c r="B52" s="33">
        <v>119</v>
      </c>
      <c r="C52" s="44" t="s">
        <v>326</v>
      </c>
      <c r="D52" s="34">
        <v>1.76</v>
      </c>
      <c r="E52" s="34"/>
      <c r="F52" s="35"/>
      <c r="G52" s="35"/>
    </row>
    <row r="53" spans="1:7" x14ac:dyDescent="0.25">
      <c r="A53" s="50"/>
      <c r="B53" s="33">
        <v>120</v>
      </c>
      <c r="C53" s="44" t="s">
        <v>324</v>
      </c>
      <c r="D53" s="34">
        <v>2.0099999999999998</v>
      </c>
      <c r="E53" s="34"/>
      <c r="F53" s="35" t="s">
        <v>337</v>
      </c>
      <c r="G53" s="44"/>
    </row>
    <row r="54" spans="1:7" x14ac:dyDescent="0.25">
      <c r="A54" s="50"/>
      <c r="B54" s="33">
        <v>121</v>
      </c>
      <c r="C54" s="44" t="s">
        <v>325</v>
      </c>
      <c r="D54" s="34">
        <v>1.84</v>
      </c>
      <c r="E54" s="34"/>
      <c r="F54" s="35"/>
      <c r="G54" s="35"/>
    </row>
    <row r="55" spans="1:7" x14ac:dyDescent="0.25">
      <c r="A55" s="50"/>
      <c r="B55" s="33">
        <v>123</v>
      </c>
      <c r="C55" s="44" t="s">
        <v>325</v>
      </c>
      <c r="D55" s="34">
        <v>1.95</v>
      </c>
      <c r="E55" s="34"/>
    </row>
    <row r="56" spans="1:7" x14ac:dyDescent="0.25">
      <c r="A56" s="50"/>
      <c r="B56" s="33">
        <v>124</v>
      </c>
      <c r="C56" s="44" t="s">
        <v>324</v>
      </c>
      <c r="D56" s="34">
        <v>1.92</v>
      </c>
      <c r="E56" s="34" t="s">
        <v>340</v>
      </c>
      <c r="F56" s="35" t="s">
        <v>332</v>
      </c>
      <c r="G56" s="44" t="s">
        <v>336</v>
      </c>
    </row>
    <row r="57" spans="1:7" x14ac:dyDescent="0.25">
      <c r="A57" s="50"/>
      <c r="B57" s="33">
        <v>125</v>
      </c>
      <c r="C57" s="44" t="s">
        <v>325</v>
      </c>
      <c r="D57" s="34">
        <v>2.0099999999999998</v>
      </c>
      <c r="E57" s="34"/>
      <c r="F57" s="35"/>
      <c r="G57" s="35"/>
    </row>
    <row r="58" spans="1:7" x14ac:dyDescent="0.25">
      <c r="A58" s="51"/>
      <c r="B58" s="42">
        <v>126</v>
      </c>
      <c r="C58" s="45" t="s">
        <v>324</v>
      </c>
      <c r="D58" s="41">
        <v>2.08</v>
      </c>
      <c r="E58" s="41" t="s">
        <v>340</v>
      </c>
      <c r="F58" s="52" t="s">
        <v>332</v>
      </c>
      <c r="G58" s="45" t="s">
        <v>324</v>
      </c>
    </row>
    <row r="59" spans="1:7" x14ac:dyDescent="0.25">
      <c r="A59" s="50" t="s">
        <v>313</v>
      </c>
      <c r="B59" s="33">
        <v>127</v>
      </c>
      <c r="C59" s="44" t="s">
        <v>324</v>
      </c>
      <c r="D59" s="34">
        <v>1.71</v>
      </c>
      <c r="E59" s="34"/>
      <c r="F59" s="35" t="s">
        <v>337</v>
      </c>
      <c r="G59" s="44"/>
    </row>
    <row r="60" spans="1:7" x14ac:dyDescent="0.25">
      <c r="A60" s="50"/>
      <c r="B60" s="33">
        <v>128</v>
      </c>
      <c r="C60" s="44" t="s">
        <v>324</v>
      </c>
      <c r="D60" s="34">
        <v>1.99</v>
      </c>
      <c r="E60" s="34"/>
      <c r="F60" s="35" t="s">
        <v>337</v>
      </c>
      <c r="G60" s="44"/>
    </row>
    <row r="61" spans="1:7" x14ac:dyDescent="0.25">
      <c r="A61" s="50"/>
      <c r="B61" s="33">
        <v>129</v>
      </c>
      <c r="C61" s="44" t="s">
        <v>324</v>
      </c>
      <c r="D61" s="34">
        <v>1.96</v>
      </c>
      <c r="E61" s="34"/>
      <c r="F61" s="35" t="s">
        <v>337</v>
      </c>
      <c r="G61" s="44"/>
    </row>
    <row r="62" spans="1:7" x14ac:dyDescent="0.25">
      <c r="A62" s="50"/>
      <c r="B62" s="33">
        <v>130</v>
      </c>
      <c r="C62" s="44" t="s">
        <v>324</v>
      </c>
      <c r="D62" s="34">
        <v>2.04</v>
      </c>
      <c r="E62" s="34"/>
      <c r="F62" s="34" t="s">
        <v>337</v>
      </c>
    </row>
    <row r="63" spans="1:7" x14ac:dyDescent="0.25">
      <c r="A63" s="50"/>
      <c r="B63" s="33">
        <v>131</v>
      </c>
      <c r="C63" s="34" t="s">
        <v>327</v>
      </c>
      <c r="D63" s="34">
        <v>1.3</v>
      </c>
      <c r="E63" s="34"/>
      <c r="F63" s="35"/>
      <c r="G63" s="35"/>
    </row>
    <row r="64" spans="1:7" x14ac:dyDescent="0.25">
      <c r="A64" s="50"/>
      <c r="B64" s="33">
        <v>132</v>
      </c>
      <c r="C64" s="34" t="s">
        <v>327</v>
      </c>
      <c r="D64" s="34">
        <v>1.47</v>
      </c>
      <c r="E64" s="34" t="s">
        <v>340</v>
      </c>
      <c r="F64" s="35" t="s">
        <v>332</v>
      </c>
      <c r="G64" s="44" t="s">
        <v>324</v>
      </c>
    </row>
    <row r="65" spans="1:7" x14ac:dyDescent="0.25">
      <c r="A65" s="50"/>
      <c r="B65" s="33">
        <v>133</v>
      </c>
      <c r="C65" s="44" t="s">
        <v>326</v>
      </c>
      <c r="D65" s="34">
        <v>1.96</v>
      </c>
      <c r="E65" s="34"/>
      <c r="F65" s="35"/>
      <c r="G65" s="35"/>
    </row>
    <row r="66" spans="1:7" x14ac:dyDescent="0.25">
      <c r="A66" s="50"/>
      <c r="B66" s="33">
        <v>134</v>
      </c>
      <c r="D66" s="34"/>
      <c r="E66" s="34"/>
      <c r="F66" s="35"/>
      <c r="G66" s="35"/>
    </row>
    <row r="67" spans="1:7" x14ac:dyDescent="0.25">
      <c r="A67" s="50"/>
      <c r="B67" s="33">
        <v>135</v>
      </c>
      <c r="C67" s="44" t="s">
        <v>324</v>
      </c>
      <c r="D67" s="34">
        <v>2.23</v>
      </c>
      <c r="E67" s="34"/>
      <c r="F67" s="35" t="s">
        <v>337</v>
      </c>
      <c r="G67" s="44"/>
    </row>
    <row r="68" spans="1:7" x14ac:dyDescent="0.25">
      <c r="A68" s="50"/>
      <c r="B68" s="33">
        <v>136</v>
      </c>
      <c r="D68" s="34"/>
      <c r="E68" s="34"/>
      <c r="F68" s="35"/>
      <c r="G68" s="35"/>
    </row>
    <row r="69" spans="1:7" x14ac:dyDescent="0.25">
      <c r="A69" s="50"/>
      <c r="B69" s="33">
        <v>137</v>
      </c>
      <c r="C69" s="44" t="s">
        <v>324</v>
      </c>
      <c r="D69" s="34">
        <v>2.09</v>
      </c>
      <c r="E69" s="34" t="s">
        <v>340</v>
      </c>
      <c r="F69" s="35" t="s">
        <v>332</v>
      </c>
      <c r="G69" s="44" t="s">
        <v>324</v>
      </c>
    </row>
    <row r="70" spans="1:7" x14ac:dyDescent="0.25">
      <c r="A70" s="50"/>
      <c r="B70" s="33">
        <v>138</v>
      </c>
      <c r="C70" s="34" t="s">
        <v>327</v>
      </c>
      <c r="D70" s="34">
        <v>1.3</v>
      </c>
      <c r="E70" s="34"/>
      <c r="F70" s="35"/>
      <c r="G70" s="35"/>
    </row>
    <row r="71" spans="1:7" x14ac:dyDescent="0.25">
      <c r="A71" s="50"/>
      <c r="B71" s="33">
        <v>139</v>
      </c>
      <c r="C71" s="44" t="s">
        <v>324</v>
      </c>
      <c r="D71" s="34">
        <v>2.09</v>
      </c>
      <c r="E71" s="34"/>
      <c r="F71" s="35" t="s">
        <v>337</v>
      </c>
      <c r="G71" s="44"/>
    </row>
    <row r="72" spans="1:7" x14ac:dyDescent="0.25">
      <c r="A72" s="50"/>
      <c r="B72" s="33">
        <v>140</v>
      </c>
      <c r="D72" s="34"/>
      <c r="E72" s="34"/>
      <c r="F72" s="35"/>
      <c r="G72" s="35"/>
    </row>
    <row r="73" spans="1:7" x14ac:dyDescent="0.25">
      <c r="A73" s="50"/>
      <c r="B73" s="33">
        <v>141</v>
      </c>
      <c r="D73" s="34"/>
      <c r="E73" s="34"/>
      <c r="F73" s="35"/>
      <c r="G73" s="35"/>
    </row>
    <row r="74" spans="1:7" x14ac:dyDescent="0.25">
      <c r="A74" s="50"/>
      <c r="B74" s="33">
        <v>142</v>
      </c>
      <c r="D74" s="34"/>
      <c r="E74" s="34"/>
      <c r="F74" s="35"/>
      <c r="G74" s="35"/>
    </row>
    <row r="75" spans="1:7" x14ac:dyDescent="0.25">
      <c r="A75" s="50"/>
      <c r="B75" s="33">
        <v>143</v>
      </c>
      <c r="C75" s="44" t="s">
        <v>326</v>
      </c>
      <c r="D75" s="34">
        <v>1.84</v>
      </c>
      <c r="E75" s="34"/>
      <c r="F75" s="35"/>
      <c r="G75" s="35"/>
    </row>
    <row r="76" spans="1:7" x14ac:dyDescent="0.25">
      <c r="A76" s="50"/>
      <c r="B76" s="33">
        <v>144</v>
      </c>
      <c r="D76" s="34"/>
      <c r="E76" s="34"/>
      <c r="F76" s="35"/>
      <c r="G76" s="35"/>
    </row>
    <row r="77" spans="1:7" x14ac:dyDescent="0.25">
      <c r="A77" s="50"/>
      <c r="B77" s="33">
        <v>145</v>
      </c>
      <c r="C77" s="44" t="s">
        <v>324</v>
      </c>
      <c r="D77" s="34">
        <v>2.0299999999999998</v>
      </c>
      <c r="E77" s="34" t="s">
        <v>340</v>
      </c>
      <c r="F77" s="35" t="s">
        <v>332</v>
      </c>
      <c r="G77" s="44" t="s">
        <v>324</v>
      </c>
    </row>
    <row r="78" spans="1:7" x14ac:dyDescent="0.25">
      <c r="A78" s="50"/>
      <c r="B78" s="33">
        <v>146</v>
      </c>
      <c r="C78" s="44" t="s">
        <v>324</v>
      </c>
      <c r="D78" s="34">
        <v>2.09</v>
      </c>
      <c r="E78" s="34" t="s">
        <v>340</v>
      </c>
      <c r="F78" s="35" t="s">
        <v>332</v>
      </c>
      <c r="G78" s="44" t="s">
        <v>324</v>
      </c>
    </row>
    <row r="79" spans="1:7" x14ac:dyDescent="0.25">
      <c r="A79" s="50"/>
      <c r="B79" s="33">
        <v>147</v>
      </c>
      <c r="D79" s="34"/>
      <c r="E79" s="34"/>
      <c r="F79" s="35"/>
      <c r="G79" s="35"/>
    </row>
    <row r="80" spans="1:7" x14ac:dyDescent="0.25">
      <c r="A80" s="50"/>
      <c r="B80" s="33">
        <v>148</v>
      </c>
      <c r="C80" s="44" t="s">
        <v>324</v>
      </c>
      <c r="D80" s="34">
        <v>2.11</v>
      </c>
      <c r="E80" s="34" t="s">
        <v>340</v>
      </c>
      <c r="F80" s="35" t="s">
        <v>332</v>
      </c>
      <c r="G80" s="44" t="s">
        <v>324</v>
      </c>
    </row>
    <row r="81" spans="1:7" x14ac:dyDescent="0.25">
      <c r="A81" s="50"/>
      <c r="B81" s="33">
        <v>149</v>
      </c>
      <c r="C81" s="44" t="s">
        <v>324</v>
      </c>
      <c r="D81" s="34">
        <v>1.93</v>
      </c>
      <c r="E81" s="34"/>
      <c r="F81" s="35" t="s">
        <v>337</v>
      </c>
      <c r="G81" s="44"/>
    </row>
    <row r="82" spans="1:7" x14ac:dyDescent="0.25">
      <c r="A82" s="50"/>
      <c r="B82" s="33">
        <v>150</v>
      </c>
      <c r="D82" s="34"/>
      <c r="E82" s="34"/>
      <c r="F82" s="35"/>
      <c r="G82" s="35"/>
    </row>
    <row r="83" spans="1:7" x14ac:dyDescent="0.25">
      <c r="A83" s="50"/>
      <c r="B83" s="33">
        <v>151</v>
      </c>
      <c r="C83" s="44" t="s">
        <v>324</v>
      </c>
      <c r="D83" s="34">
        <v>1.96</v>
      </c>
      <c r="E83" s="34"/>
      <c r="F83" s="34" t="s">
        <v>337</v>
      </c>
      <c r="G83" s="44"/>
    </row>
    <row r="84" spans="1:7" x14ac:dyDescent="0.25">
      <c r="A84" s="50"/>
      <c r="B84" s="33">
        <v>152</v>
      </c>
      <c r="C84" s="44" t="s">
        <v>324</v>
      </c>
      <c r="D84" s="34">
        <v>1.98</v>
      </c>
      <c r="E84" s="34"/>
      <c r="F84" s="34" t="s">
        <v>337</v>
      </c>
      <c r="G84" s="44"/>
    </row>
    <row r="85" spans="1:7" x14ac:dyDescent="0.25">
      <c r="A85" s="50"/>
      <c r="B85" s="33">
        <v>153</v>
      </c>
      <c r="C85" s="44" t="s">
        <v>324</v>
      </c>
      <c r="D85" s="34">
        <v>1.98</v>
      </c>
      <c r="E85" s="34"/>
      <c r="F85" s="34" t="s">
        <v>337</v>
      </c>
      <c r="G85" s="44"/>
    </row>
    <row r="86" spans="1:7" x14ac:dyDescent="0.25">
      <c r="A86" s="50"/>
      <c r="B86" s="33">
        <v>154</v>
      </c>
      <c r="C86" s="44" t="s">
        <v>324</v>
      </c>
      <c r="D86" s="34">
        <v>2.06</v>
      </c>
      <c r="E86" s="34" t="s">
        <v>340</v>
      </c>
      <c r="F86" s="35" t="s">
        <v>332</v>
      </c>
      <c r="G86" s="44" t="s">
        <v>324</v>
      </c>
    </row>
    <row r="87" spans="1:7" x14ac:dyDescent="0.25">
      <c r="A87" s="50"/>
      <c r="B87" s="33">
        <v>155</v>
      </c>
      <c r="C87" s="44" t="s">
        <v>324</v>
      </c>
      <c r="D87" s="34">
        <v>1.76</v>
      </c>
      <c r="E87" s="34"/>
      <c r="F87" s="34" t="s">
        <v>337</v>
      </c>
      <c r="G87" s="44"/>
    </row>
    <row r="88" spans="1:7" x14ac:dyDescent="0.25">
      <c r="A88" s="50"/>
      <c r="B88" s="33">
        <v>156</v>
      </c>
      <c r="C88" s="44" t="s">
        <v>324</v>
      </c>
      <c r="D88" s="34">
        <v>2</v>
      </c>
      <c r="E88" s="34" t="s">
        <v>340</v>
      </c>
      <c r="F88" s="35" t="s">
        <v>332</v>
      </c>
      <c r="G88" s="44" t="s">
        <v>324</v>
      </c>
    </row>
    <row r="89" spans="1:7" x14ac:dyDescent="0.25">
      <c r="A89" s="50"/>
      <c r="B89" s="33">
        <v>157</v>
      </c>
      <c r="C89" s="44" t="s">
        <v>324</v>
      </c>
      <c r="D89" s="34">
        <v>1.72</v>
      </c>
      <c r="E89" s="34" t="s">
        <v>340</v>
      </c>
      <c r="F89" s="35" t="s">
        <v>332</v>
      </c>
      <c r="G89" s="44" t="s">
        <v>324</v>
      </c>
    </row>
    <row r="90" spans="1:7" x14ac:dyDescent="0.25">
      <c r="A90" s="50"/>
      <c r="B90" s="33">
        <v>158</v>
      </c>
      <c r="C90" s="44" t="s">
        <v>324</v>
      </c>
      <c r="D90" s="34">
        <v>2.15</v>
      </c>
      <c r="E90" s="34" t="s">
        <v>340</v>
      </c>
      <c r="F90" s="35" t="s">
        <v>332</v>
      </c>
      <c r="G90" s="44" t="s">
        <v>324</v>
      </c>
    </row>
    <row r="91" spans="1:7" x14ac:dyDescent="0.25">
      <c r="A91" s="50"/>
      <c r="B91" s="33">
        <v>159</v>
      </c>
      <c r="C91" s="34" t="s">
        <v>327</v>
      </c>
      <c r="D91" s="34">
        <v>1.3</v>
      </c>
      <c r="E91" s="34"/>
      <c r="F91" s="35"/>
      <c r="G91" s="35"/>
    </row>
    <row r="92" spans="1:7" x14ac:dyDescent="0.25">
      <c r="A92" s="50"/>
      <c r="B92" s="33">
        <v>160</v>
      </c>
      <c r="D92" s="34"/>
      <c r="E92" s="34"/>
      <c r="F92" s="35"/>
      <c r="G92" s="35"/>
    </row>
    <row r="93" spans="1:7" x14ac:dyDescent="0.25">
      <c r="A93" s="50"/>
      <c r="B93" s="33">
        <v>161</v>
      </c>
      <c r="C93" s="34" t="s">
        <v>327</v>
      </c>
      <c r="D93" s="34">
        <v>1.3</v>
      </c>
      <c r="E93" s="34"/>
      <c r="F93" s="35"/>
      <c r="G93" s="35"/>
    </row>
    <row r="94" spans="1:7" x14ac:dyDescent="0.25">
      <c r="A94" s="50"/>
      <c r="B94" s="33">
        <v>162</v>
      </c>
      <c r="C94" s="44" t="s">
        <v>324</v>
      </c>
      <c r="D94" s="34">
        <v>2.02</v>
      </c>
      <c r="E94" s="34" t="s">
        <v>340</v>
      </c>
      <c r="F94" s="35" t="s">
        <v>332</v>
      </c>
      <c r="G94" s="44" t="s">
        <v>324</v>
      </c>
    </row>
    <row r="95" spans="1:7" x14ac:dyDescent="0.25">
      <c r="A95" s="50"/>
      <c r="B95" s="33">
        <v>163</v>
      </c>
      <c r="C95" s="44" t="s">
        <v>324</v>
      </c>
      <c r="D95" s="34">
        <v>1.83</v>
      </c>
      <c r="E95" s="34"/>
      <c r="F95" s="35" t="s">
        <v>337</v>
      </c>
      <c r="G95" s="44"/>
    </row>
    <row r="96" spans="1:7" x14ac:dyDescent="0.25">
      <c r="A96" s="50"/>
      <c r="B96" s="33">
        <v>164</v>
      </c>
      <c r="D96" s="34"/>
      <c r="E96" s="34"/>
      <c r="F96" s="35"/>
      <c r="G96" s="35"/>
    </row>
    <row r="97" spans="1:7" x14ac:dyDescent="0.25">
      <c r="A97" s="50"/>
      <c r="B97" s="33">
        <v>166</v>
      </c>
      <c r="D97" s="34"/>
      <c r="E97" s="34"/>
      <c r="F97" s="35"/>
      <c r="G97" s="35"/>
    </row>
    <row r="98" spans="1:7" x14ac:dyDescent="0.25">
      <c r="A98" s="50"/>
      <c r="B98" s="33">
        <v>167</v>
      </c>
      <c r="C98" s="44" t="s">
        <v>324</v>
      </c>
      <c r="D98" s="34">
        <v>1.93</v>
      </c>
      <c r="E98" s="34"/>
      <c r="F98" s="35" t="s">
        <v>337</v>
      </c>
      <c r="G98" s="44"/>
    </row>
    <row r="99" spans="1:7" x14ac:dyDescent="0.25">
      <c r="A99" s="50"/>
      <c r="B99" s="33">
        <v>168</v>
      </c>
      <c r="C99" s="44" t="s">
        <v>324</v>
      </c>
      <c r="D99" s="34">
        <v>1.94</v>
      </c>
      <c r="E99" s="34"/>
      <c r="F99" s="35" t="s">
        <v>337</v>
      </c>
      <c r="G99" s="44"/>
    </row>
    <row r="100" spans="1:7" x14ac:dyDescent="0.25">
      <c r="A100" s="50"/>
      <c r="B100" s="33">
        <v>169</v>
      </c>
      <c r="D100" s="34"/>
      <c r="E100" s="34"/>
      <c r="F100" s="35"/>
      <c r="G100" s="35"/>
    </row>
    <row r="101" spans="1:7" x14ac:dyDescent="0.25">
      <c r="A101" s="50"/>
      <c r="B101" s="33">
        <v>170</v>
      </c>
      <c r="C101" s="34" t="s">
        <v>327</v>
      </c>
      <c r="D101" s="34"/>
      <c r="E101" s="34"/>
      <c r="F101" s="35"/>
      <c r="G101" s="35"/>
    </row>
    <row r="102" spans="1:7" x14ac:dyDescent="0.25">
      <c r="A102" s="50"/>
      <c r="B102" s="33">
        <v>171</v>
      </c>
      <c r="C102" s="44" t="s">
        <v>324</v>
      </c>
      <c r="D102" s="34">
        <v>2.09</v>
      </c>
      <c r="E102" s="34"/>
      <c r="F102" s="35" t="s">
        <v>337</v>
      </c>
      <c r="G102" s="44"/>
    </row>
    <row r="103" spans="1:7" x14ac:dyDescent="0.25">
      <c r="A103" s="50"/>
      <c r="B103" s="33">
        <v>172</v>
      </c>
      <c r="C103" s="44" t="s">
        <v>324</v>
      </c>
      <c r="D103" s="34">
        <v>2.08</v>
      </c>
      <c r="E103" s="34" t="s">
        <v>340</v>
      </c>
      <c r="F103" s="35" t="s">
        <v>332</v>
      </c>
      <c r="G103" s="44" t="s">
        <v>324</v>
      </c>
    </row>
    <row r="104" spans="1:7" x14ac:dyDescent="0.25">
      <c r="A104" s="50"/>
      <c r="B104" s="33">
        <v>173</v>
      </c>
      <c r="C104" s="44" t="s">
        <v>324</v>
      </c>
      <c r="D104" s="34">
        <v>1.95</v>
      </c>
      <c r="E104" s="34"/>
      <c r="F104" s="35" t="s">
        <v>337</v>
      </c>
      <c r="G104" s="44"/>
    </row>
    <row r="105" spans="1:7" x14ac:dyDescent="0.25">
      <c r="A105" s="50"/>
      <c r="B105" s="33">
        <v>174</v>
      </c>
      <c r="C105" s="44" t="s">
        <v>324</v>
      </c>
      <c r="D105" s="34">
        <v>1.93</v>
      </c>
      <c r="E105" s="34"/>
      <c r="F105" s="35" t="s">
        <v>337</v>
      </c>
      <c r="G105" s="44"/>
    </row>
    <row r="106" spans="1:7" x14ac:dyDescent="0.25">
      <c r="A106" s="50"/>
      <c r="B106" s="33">
        <v>175</v>
      </c>
      <c r="D106" s="34"/>
      <c r="E106" s="34"/>
      <c r="F106" s="35"/>
      <c r="G106" s="35"/>
    </row>
    <row r="107" spans="1:7" x14ac:dyDescent="0.25">
      <c r="A107" s="50"/>
      <c r="B107" s="33">
        <v>176</v>
      </c>
      <c r="C107" s="44" t="s">
        <v>324</v>
      </c>
      <c r="D107" s="34">
        <v>2.06</v>
      </c>
      <c r="E107" s="34" t="s">
        <v>340</v>
      </c>
      <c r="F107" s="35" t="s">
        <v>332</v>
      </c>
      <c r="G107" s="44" t="s">
        <v>324</v>
      </c>
    </row>
    <row r="108" spans="1:7" x14ac:dyDescent="0.25">
      <c r="A108" s="50"/>
      <c r="B108" s="33">
        <v>177</v>
      </c>
      <c r="D108" s="34"/>
      <c r="E108" s="34"/>
      <c r="F108" s="35"/>
      <c r="G108" s="35"/>
    </row>
    <row r="109" spans="1:7" x14ac:dyDescent="0.25">
      <c r="A109" s="50"/>
      <c r="B109" s="33">
        <v>178</v>
      </c>
      <c r="C109" s="44" t="s">
        <v>324</v>
      </c>
      <c r="D109" s="34">
        <v>2.0499999999999998</v>
      </c>
      <c r="E109" s="34"/>
      <c r="F109" s="35" t="s">
        <v>337</v>
      </c>
      <c r="G109" s="44"/>
    </row>
    <row r="110" spans="1:7" x14ac:dyDescent="0.25">
      <c r="A110" s="50"/>
      <c r="B110" s="33">
        <v>179</v>
      </c>
      <c r="C110" s="34" t="s">
        <v>327</v>
      </c>
      <c r="D110" s="34"/>
      <c r="E110" s="34"/>
      <c r="F110" s="35"/>
      <c r="G110" s="35"/>
    </row>
    <row r="111" spans="1:7" x14ac:dyDescent="0.25">
      <c r="A111" s="50"/>
      <c r="B111" s="33">
        <v>180</v>
      </c>
      <c r="C111" s="44" t="s">
        <v>324</v>
      </c>
      <c r="D111" s="34">
        <v>1.81</v>
      </c>
      <c r="E111" s="34"/>
      <c r="F111" s="35" t="s">
        <v>337</v>
      </c>
      <c r="G111" s="44"/>
    </row>
    <row r="112" spans="1:7" x14ac:dyDescent="0.25">
      <c r="A112" s="50"/>
      <c r="B112" s="33">
        <v>181</v>
      </c>
      <c r="C112" s="44" t="s">
        <v>324</v>
      </c>
      <c r="D112" s="34">
        <v>2.0699999999999998</v>
      </c>
      <c r="E112" s="34" t="s">
        <v>340</v>
      </c>
      <c r="F112" s="35" t="s">
        <v>332</v>
      </c>
      <c r="G112" s="44" t="s">
        <v>324</v>
      </c>
    </row>
    <row r="113" spans="1:7" x14ac:dyDescent="0.25">
      <c r="A113" s="50"/>
      <c r="B113" s="33">
        <v>182</v>
      </c>
      <c r="C113" s="44" t="s">
        <v>324</v>
      </c>
      <c r="D113" s="34">
        <v>2.0699999999999998</v>
      </c>
      <c r="E113" s="34"/>
      <c r="F113" s="35" t="s">
        <v>337</v>
      </c>
      <c r="G113" s="44"/>
    </row>
    <row r="114" spans="1:7" x14ac:dyDescent="0.25">
      <c r="A114" s="50"/>
      <c r="B114" s="33">
        <v>183</v>
      </c>
      <c r="C114" s="44" t="s">
        <v>324</v>
      </c>
      <c r="D114" s="34">
        <v>2</v>
      </c>
      <c r="E114" s="34" t="s">
        <v>340</v>
      </c>
      <c r="F114" s="35" t="s">
        <v>332</v>
      </c>
      <c r="G114" s="44" t="s">
        <v>324</v>
      </c>
    </row>
    <row r="115" spans="1:7" x14ac:dyDescent="0.25">
      <c r="A115" s="50"/>
      <c r="B115" s="33">
        <v>184</v>
      </c>
      <c r="D115" s="34"/>
      <c r="E115" s="34"/>
      <c r="F115" s="35"/>
      <c r="G115" s="35"/>
    </row>
    <row r="116" spans="1:7" x14ac:dyDescent="0.25">
      <c r="A116" s="50"/>
      <c r="B116" s="33">
        <v>185</v>
      </c>
      <c r="D116" s="34"/>
      <c r="E116" s="34"/>
      <c r="F116" s="35"/>
      <c r="G116" s="35"/>
    </row>
    <row r="117" spans="1:7" x14ac:dyDescent="0.25">
      <c r="A117" s="50"/>
      <c r="B117" s="33">
        <v>186</v>
      </c>
      <c r="C117" s="44" t="s">
        <v>324</v>
      </c>
      <c r="D117" s="34">
        <v>1.86</v>
      </c>
      <c r="E117" s="34"/>
      <c r="F117" s="35" t="s">
        <v>337</v>
      </c>
      <c r="G117" s="44"/>
    </row>
    <row r="118" spans="1:7" x14ac:dyDescent="0.25">
      <c r="A118" s="50"/>
      <c r="B118" s="33">
        <v>187</v>
      </c>
      <c r="C118" s="44" t="s">
        <v>324</v>
      </c>
      <c r="D118" s="34">
        <v>2.04</v>
      </c>
      <c r="E118" s="34" t="s">
        <v>340</v>
      </c>
      <c r="F118" s="35" t="s">
        <v>332</v>
      </c>
      <c r="G118" s="44" t="s">
        <v>324</v>
      </c>
    </row>
    <row r="119" spans="1:7" x14ac:dyDescent="0.25">
      <c r="A119" s="50"/>
      <c r="B119" s="33">
        <v>188</v>
      </c>
      <c r="C119" s="44" t="s">
        <v>324</v>
      </c>
      <c r="D119" s="34">
        <v>2.21</v>
      </c>
      <c r="E119" s="34" t="s">
        <v>340</v>
      </c>
      <c r="F119" s="35" t="s">
        <v>332</v>
      </c>
      <c r="G119" s="44" t="s">
        <v>324</v>
      </c>
    </row>
    <row r="120" spans="1:7" x14ac:dyDescent="0.25">
      <c r="A120" s="50"/>
      <c r="B120" s="33">
        <v>189</v>
      </c>
      <c r="C120" s="44" t="s">
        <v>324</v>
      </c>
      <c r="D120" s="34">
        <v>1.79</v>
      </c>
      <c r="E120" s="34"/>
      <c r="F120" s="35" t="s">
        <v>337</v>
      </c>
      <c r="G120" s="44"/>
    </row>
    <row r="121" spans="1:7" x14ac:dyDescent="0.25">
      <c r="A121" s="50"/>
      <c r="B121" s="33">
        <v>190</v>
      </c>
      <c r="C121" s="44" t="s">
        <v>324</v>
      </c>
      <c r="D121" s="34">
        <v>2.0299999999999998</v>
      </c>
      <c r="E121" s="34" t="s">
        <v>340</v>
      </c>
      <c r="F121" s="35" t="s">
        <v>332</v>
      </c>
      <c r="G121" s="44" t="s">
        <v>324</v>
      </c>
    </row>
    <row r="122" spans="1:7" x14ac:dyDescent="0.25">
      <c r="A122" s="50"/>
      <c r="B122" s="33">
        <v>191</v>
      </c>
      <c r="D122" s="34"/>
      <c r="E122" s="34"/>
      <c r="F122" s="35"/>
      <c r="G122" s="35"/>
    </row>
    <row r="123" spans="1:7" x14ac:dyDescent="0.25">
      <c r="A123" s="50"/>
      <c r="B123" s="33">
        <v>192</v>
      </c>
      <c r="C123" s="44" t="s">
        <v>324</v>
      </c>
      <c r="D123" s="34">
        <v>1.99</v>
      </c>
      <c r="E123" s="34"/>
      <c r="F123" s="35" t="s">
        <v>337</v>
      </c>
      <c r="G123" s="44"/>
    </row>
    <row r="124" spans="1:7" x14ac:dyDescent="0.25">
      <c r="A124" s="50"/>
      <c r="B124" s="33">
        <v>193</v>
      </c>
      <c r="D124" s="34"/>
      <c r="E124" s="34"/>
      <c r="F124" s="35"/>
      <c r="G124" s="35"/>
    </row>
    <row r="125" spans="1:7" x14ac:dyDescent="0.25">
      <c r="A125" s="50"/>
      <c r="B125" s="33">
        <v>194</v>
      </c>
      <c r="C125" s="44" t="s">
        <v>324</v>
      </c>
      <c r="D125" s="34">
        <v>2.0299999999999998</v>
      </c>
      <c r="E125" s="34" t="s">
        <v>340</v>
      </c>
      <c r="F125" s="35" t="s">
        <v>332</v>
      </c>
      <c r="G125" s="44" t="s">
        <v>324</v>
      </c>
    </row>
    <row r="126" spans="1:7" x14ac:dyDescent="0.25">
      <c r="A126" s="50"/>
      <c r="B126" s="33">
        <v>195</v>
      </c>
      <c r="C126" s="44" t="s">
        <v>324</v>
      </c>
      <c r="D126" s="34">
        <v>2.15</v>
      </c>
      <c r="E126" s="34"/>
      <c r="F126" s="35" t="s">
        <v>337</v>
      </c>
      <c r="G126" s="44"/>
    </row>
    <row r="127" spans="1:7" x14ac:dyDescent="0.25">
      <c r="A127" s="50"/>
      <c r="B127" s="33">
        <v>196</v>
      </c>
      <c r="C127" s="44" t="s">
        <v>324</v>
      </c>
      <c r="D127" s="34">
        <v>2.0299999999999998</v>
      </c>
      <c r="E127" s="34"/>
      <c r="F127" s="35" t="s">
        <v>337</v>
      </c>
      <c r="G127" s="44"/>
    </row>
    <row r="128" spans="1:7" x14ac:dyDescent="0.25">
      <c r="A128" s="51"/>
      <c r="B128" s="42">
        <v>197</v>
      </c>
      <c r="C128" s="45"/>
      <c r="D128" s="41"/>
      <c r="E128" s="41"/>
      <c r="F128" s="52"/>
      <c r="G128" s="52"/>
    </row>
    <row r="129" spans="1:7" x14ac:dyDescent="0.25">
      <c r="A129" s="49" t="s">
        <v>314</v>
      </c>
      <c r="B129" s="37">
        <v>198</v>
      </c>
      <c r="C129" s="40" t="s">
        <v>327</v>
      </c>
      <c r="D129" s="40"/>
      <c r="E129" s="40"/>
      <c r="F129" s="53"/>
      <c r="G129" s="53"/>
    </row>
    <row r="130" spans="1:7" x14ac:dyDescent="0.25">
      <c r="A130" s="50"/>
      <c r="B130" s="33">
        <v>199</v>
      </c>
      <c r="C130" s="44" t="s">
        <v>324</v>
      </c>
      <c r="D130" s="34">
        <v>1.93</v>
      </c>
      <c r="E130" s="34"/>
      <c r="F130" s="35" t="s">
        <v>337</v>
      </c>
      <c r="G130" s="44"/>
    </row>
    <row r="131" spans="1:7" x14ac:dyDescent="0.25">
      <c r="A131" s="50"/>
      <c r="B131" s="33">
        <v>200</v>
      </c>
      <c r="C131" s="44" t="s">
        <v>326</v>
      </c>
      <c r="D131" s="34">
        <v>1.72</v>
      </c>
      <c r="E131" s="34"/>
      <c r="F131" s="35"/>
      <c r="G131" s="35"/>
    </row>
    <row r="132" spans="1:7" x14ac:dyDescent="0.25">
      <c r="A132" s="50"/>
      <c r="B132" s="33">
        <v>201</v>
      </c>
      <c r="C132" s="44" t="s">
        <v>324</v>
      </c>
      <c r="D132" s="34">
        <v>1.82</v>
      </c>
      <c r="E132" s="34"/>
      <c r="F132" s="35" t="s">
        <v>337</v>
      </c>
      <c r="G132" s="44"/>
    </row>
    <row r="133" spans="1:7" x14ac:dyDescent="0.25">
      <c r="A133" s="50"/>
      <c r="B133" s="33">
        <v>202</v>
      </c>
      <c r="C133" s="44" t="s">
        <v>324</v>
      </c>
      <c r="D133" s="34">
        <v>2.1</v>
      </c>
      <c r="E133" s="34" t="s">
        <v>340</v>
      </c>
      <c r="F133" s="35" t="s">
        <v>332</v>
      </c>
      <c r="G133" s="44" t="s">
        <v>324</v>
      </c>
    </row>
    <row r="134" spans="1:7" x14ac:dyDescent="0.25">
      <c r="A134" s="50"/>
      <c r="B134" s="33">
        <v>203</v>
      </c>
      <c r="C134" s="44" t="s">
        <v>324</v>
      </c>
      <c r="D134" s="34">
        <v>1.95</v>
      </c>
      <c r="E134" s="34"/>
      <c r="F134" s="35" t="s">
        <v>337</v>
      </c>
      <c r="G134" s="44"/>
    </row>
    <row r="135" spans="1:7" x14ac:dyDescent="0.25">
      <c r="A135" s="50"/>
      <c r="B135" s="33">
        <v>204</v>
      </c>
      <c r="C135" s="34" t="s">
        <v>327</v>
      </c>
      <c r="D135" s="34">
        <v>1.42</v>
      </c>
      <c r="E135" s="34"/>
      <c r="F135" s="35"/>
      <c r="G135" s="35"/>
    </row>
    <row r="136" spans="1:7" x14ac:dyDescent="0.25">
      <c r="A136" s="50"/>
      <c r="B136" s="33">
        <v>205</v>
      </c>
      <c r="C136" s="44" t="s">
        <v>324</v>
      </c>
      <c r="D136" s="34">
        <v>2.0699999999999998</v>
      </c>
      <c r="E136" s="34" t="s">
        <v>340</v>
      </c>
      <c r="F136" s="35" t="s">
        <v>332</v>
      </c>
      <c r="G136" s="44" t="s">
        <v>324</v>
      </c>
    </row>
    <row r="137" spans="1:7" x14ac:dyDescent="0.25">
      <c r="A137" s="50"/>
      <c r="B137" s="33">
        <v>206</v>
      </c>
      <c r="C137" s="44" t="s">
        <v>324</v>
      </c>
      <c r="D137" s="34">
        <v>2.0499999999999998</v>
      </c>
      <c r="E137" s="34"/>
      <c r="F137" s="35" t="s">
        <v>337</v>
      </c>
      <c r="G137" s="44"/>
    </row>
    <row r="138" spans="1:7" x14ac:dyDescent="0.25">
      <c r="A138" s="50"/>
      <c r="B138" s="33">
        <v>207</v>
      </c>
      <c r="C138" s="44" t="s">
        <v>324</v>
      </c>
      <c r="D138" s="34">
        <v>2.04</v>
      </c>
      <c r="E138" s="34"/>
      <c r="F138" s="35" t="s">
        <v>337</v>
      </c>
      <c r="G138" s="44"/>
    </row>
    <row r="139" spans="1:7" x14ac:dyDescent="0.25">
      <c r="A139" s="50"/>
      <c r="B139" s="33">
        <v>208</v>
      </c>
      <c r="C139" s="44" t="s">
        <v>324</v>
      </c>
      <c r="D139" s="34">
        <v>1.9</v>
      </c>
      <c r="E139" s="34"/>
      <c r="F139" s="35" t="s">
        <v>337</v>
      </c>
      <c r="G139" s="44"/>
    </row>
    <row r="140" spans="1:7" x14ac:dyDescent="0.25">
      <c r="A140" s="50"/>
      <c r="B140" s="33">
        <v>209</v>
      </c>
      <c r="C140" s="44" t="s">
        <v>324</v>
      </c>
      <c r="D140" s="34">
        <v>1.98</v>
      </c>
      <c r="E140" s="34"/>
      <c r="F140" s="35" t="s">
        <v>337</v>
      </c>
      <c r="G140" s="44"/>
    </row>
    <row r="141" spans="1:7" x14ac:dyDescent="0.25">
      <c r="A141" s="50"/>
      <c r="B141" s="33">
        <v>210</v>
      </c>
      <c r="C141" s="34" t="s">
        <v>327</v>
      </c>
      <c r="D141" s="34">
        <v>1.31</v>
      </c>
      <c r="E141" s="34"/>
      <c r="F141" s="35"/>
      <c r="G141" s="35"/>
    </row>
    <row r="142" spans="1:7" x14ac:dyDescent="0.25">
      <c r="A142" s="50"/>
      <c r="B142" s="33">
        <v>211</v>
      </c>
      <c r="C142" s="44" t="s">
        <v>324</v>
      </c>
      <c r="D142" s="34">
        <v>2.1800000000000002</v>
      </c>
      <c r="E142" s="34" t="s">
        <v>340</v>
      </c>
      <c r="F142" s="35" t="s">
        <v>332</v>
      </c>
      <c r="G142" s="44" t="s">
        <v>324</v>
      </c>
    </row>
    <row r="143" spans="1:7" x14ac:dyDescent="0.25">
      <c r="A143" s="50"/>
      <c r="B143" s="33">
        <v>212</v>
      </c>
      <c r="D143" s="34"/>
      <c r="E143" s="34"/>
      <c r="F143" s="35"/>
      <c r="G143" s="35"/>
    </row>
    <row r="144" spans="1:7" x14ac:dyDescent="0.25">
      <c r="A144" s="50"/>
      <c r="B144" s="33">
        <v>213</v>
      </c>
      <c r="C144" s="44" t="s">
        <v>324</v>
      </c>
      <c r="D144" s="34">
        <v>2.09</v>
      </c>
      <c r="E144" s="34" t="s">
        <v>340</v>
      </c>
      <c r="F144" s="35" t="s">
        <v>332</v>
      </c>
      <c r="G144" s="44" t="s">
        <v>324</v>
      </c>
    </row>
    <row r="145" spans="1:7" x14ac:dyDescent="0.25">
      <c r="A145" s="50"/>
      <c r="B145" s="33">
        <v>214</v>
      </c>
      <c r="C145" s="34" t="s">
        <v>327</v>
      </c>
      <c r="D145" s="34">
        <v>1.56</v>
      </c>
      <c r="E145" s="34"/>
      <c r="F145" s="35"/>
      <c r="G145" s="35"/>
    </row>
    <row r="146" spans="1:7" x14ac:dyDescent="0.25">
      <c r="A146" s="50"/>
      <c r="B146" s="33">
        <v>215</v>
      </c>
      <c r="C146" s="44" t="s">
        <v>324</v>
      </c>
      <c r="D146" s="34">
        <v>2.0499999999999998</v>
      </c>
      <c r="E146" s="34" t="s">
        <v>340</v>
      </c>
      <c r="F146" s="35" t="s">
        <v>332</v>
      </c>
      <c r="G146" s="44" t="s">
        <v>324</v>
      </c>
    </row>
    <row r="147" spans="1:7" x14ac:dyDescent="0.25">
      <c r="A147" s="50"/>
      <c r="B147" s="33">
        <v>216</v>
      </c>
      <c r="D147" s="34"/>
      <c r="E147" s="34"/>
      <c r="F147" s="35"/>
      <c r="G147" s="35"/>
    </row>
    <row r="148" spans="1:7" x14ac:dyDescent="0.25">
      <c r="A148" s="50"/>
      <c r="B148" s="33">
        <v>217</v>
      </c>
      <c r="C148" s="44" t="s">
        <v>324</v>
      </c>
      <c r="D148" s="34">
        <v>2.21</v>
      </c>
      <c r="E148" s="34" t="s">
        <v>340</v>
      </c>
      <c r="F148" s="35" t="s">
        <v>332</v>
      </c>
      <c r="G148" s="44" t="s">
        <v>324</v>
      </c>
    </row>
    <row r="149" spans="1:7" x14ac:dyDescent="0.25">
      <c r="A149" s="50"/>
      <c r="B149" s="33">
        <v>218</v>
      </c>
      <c r="C149" s="44" t="s">
        <v>324</v>
      </c>
      <c r="D149" s="34">
        <v>1.9</v>
      </c>
      <c r="E149" s="34" t="s">
        <v>340</v>
      </c>
      <c r="F149" s="35" t="s">
        <v>332</v>
      </c>
      <c r="G149" s="44" t="s">
        <v>324</v>
      </c>
    </row>
    <row r="150" spans="1:7" x14ac:dyDescent="0.25">
      <c r="A150" s="50"/>
      <c r="B150" s="33">
        <v>219</v>
      </c>
      <c r="C150" s="44" t="s">
        <v>324</v>
      </c>
      <c r="D150" s="34">
        <v>1.97</v>
      </c>
      <c r="E150" s="34" t="s">
        <v>340</v>
      </c>
      <c r="F150" s="35" t="s">
        <v>332</v>
      </c>
      <c r="G150" s="44" t="s">
        <v>324</v>
      </c>
    </row>
    <row r="151" spans="1:7" x14ac:dyDescent="0.25">
      <c r="A151" s="50"/>
      <c r="B151" s="33">
        <v>220</v>
      </c>
      <c r="C151" s="44" t="s">
        <v>324</v>
      </c>
      <c r="D151" s="34">
        <v>2.2999999999999998</v>
      </c>
      <c r="E151" s="34" t="s">
        <v>340</v>
      </c>
      <c r="F151" s="35" t="s">
        <v>332</v>
      </c>
      <c r="G151" s="44" t="s">
        <v>324</v>
      </c>
    </row>
    <row r="152" spans="1:7" x14ac:dyDescent="0.25">
      <c r="A152" s="50"/>
      <c r="B152" s="33">
        <v>221</v>
      </c>
      <c r="C152" s="44" t="s">
        <v>324</v>
      </c>
      <c r="D152" s="34">
        <v>1.99</v>
      </c>
      <c r="E152" s="34" t="s">
        <v>340</v>
      </c>
      <c r="F152" s="35" t="s">
        <v>333</v>
      </c>
      <c r="G152" s="44" t="s">
        <v>324</v>
      </c>
    </row>
    <row r="153" spans="1:7" x14ac:dyDescent="0.25">
      <c r="A153" s="50"/>
      <c r="B153" s="33">
        <v>222</v>
      </c>
      <c r="C153" s="44" t="s">
        <v>324</v>
      </c>
      <c r="D153" s="34">
        <v>1.98</v>
      </c>
      <c r="E153" s="34"/>
      <c r="F153" s="35" t="s">
        <v>337</v>
      </c>
      <c r="G153" s="44"/>
    </row>
    <row r="154" spans="1:7" x14ac:dyDescent="0.25">
      <c r="A154" s="50"/>
      <c r="B154" s="33">
        <v>223</v>
      </c>
      <c r="D154" s="34"/>
      <c r="E154" s="34"/>
      <c r="F154" s="35"/>
      <c r="G154" s="35"/>
    </row>
    <row r="155" spans="1:7" x14ac:dyDescent="0.25">
      <c r="A155" s="50"/>
      <c r="B155" s="33">
        <v>224</v>
      </c>
      <c r="D155" s="34"/>
      <c r="E155" s="34"/>
      <c r="F155" s="35"/>
      <c r="G155" s="35"/>
    </row>
    <row r="156" spans="1:7" x14ac:dyDescent="0.25">
      <c r="A156" s="50"/>
      <c r="B156" s="33">
        <v>225</v>
      </c>
      <c r="D156" s="34"/>
      <c r="E156" s="34"/>
      <c r="F156" s="35"/>
      <c r="G156" s="35"/>
    </row>
    <row r="157" spans="1:7" x14ac:dyDescent="0.25">
      <c r="A157" s="50"/>
      <c r="B157" s="33">
        <v>226</v>
      </c>
      <c r="C157" s="34" t="s">
        <v>327</v>
      </c>
      <c r="D157" s="34"/>
      <c r="E157" s="34"/>
      <c r="F157" s="35"/>
      <c r="G157" s="35"/>
    </row>
    <row r="158" spans="1:7" x14ac:dyDescent="0.25">
      <c r="A158" s="50"/>
      <c r="B158" s="33">
        <v>227</v>
      </c>
      <c r="D158" s="34"/>
      <c r="E158" s="34"/>
      <c r="F158" s="35"/>
      <c r="G158" s="35"/>
    </row>
    <row r="159" spans="1:7" x14ac:dyDescent="0.25">
      <c r="A159" s="50"/>
      <c r="B159" s="33">
        <v>228</v>
      </c>
      <c r="C159" s="44" t="s">
        <v>324</v>
      </c>
      <c r="D159" s="34">
        <v>1.78</v>
      </c>
      <c r="E159" s="34" t="s">
        <v>340</v>
      </c>
      <c r="F159" s="35" t="s">
        <v>332</v>
      </c>
      <c r="G159" s="44" t="s">
        <v>324</v>
      </c>
    </row>
    <row r="160" spans="1:7" x14ac:dyDescent="0.25">
      <c r="A160" s="50"/>
      <c r="B160" s="33">
        <v>229</v>
      </c>
      <c r="D160" s="34"/>
      <c r="E160" s="34"/>
      <c r="F160" s="35"/>
      <c r="G160" s="35"/>
    </row>
    <row r="161" spans="1:7" x14ac:dyDescent="0.25">
      <c r="A161" s="50"/>
      <c r="B161" s="33">
        <v>230</v>
      </c>
      <c r="C161" s="44" t="s">
        <v>324</v>
      </c>
      <c r="D161" s="34">
        <v>1.74</v>
      </c>
      <c r="E161" s="34" t="s">
        <v>340</v>
      </c>
      <c r="F161" s="35" t="s">
        <v>332</v>
      </c>
      <c r="G161" s="44" t="s">
        <v>324</v>
      </c>
    </row>
    <row r="162" spans="1:7" x14ac:dyDescent="0.25">
      <c r="A162" s="50"/>
      <c r="B162" s="33">
        <v>231</v>
      </c>
      <c r="D162" s="34"/>
      <c r="E162" s="34"/>
      <c r="F162" s="35"/>
      <c r="G162" s="35"/>
    </row>
    <row r="163" spans="1:7" x14ac:dyDescent="0.25">
      <c r="A163" s="50"/>
      <c r="B163" s="33">
        <v>232</v>
      </c>
      <c r="D163" s="34"/>
      <c r="E163" s="34"/>
      <c r="F163" s="35"/>
      <c r="G163" s="35"/>
    </row>
    <row r="164" spans="1:7" x14ac:dyDescent="0.25">
      <c r="A164" s="50"/>
      <c r="B164" s="33">
        <v>233</v>
      </c>
      <c r="D164" s="34"/>
      <c r="E164" s="34"/>
      <c r="F164" s="35"/>
      <c r="G164" s="35"/>
    </row>
    <row r="165" spans="1:7" x14ac:dyDescent="0.25">
      <c r="A165" s="50"/>
      <c r="B165" s="33">
        <v>234</v>
      </c>
      <c r="C165" s="44" t="s">
        <v>324</v>
      </c>
      <c r="D165" s="34">
        <v>2.13</v>
      </c>
      <c r="E165" s="34" t="s">
        <v>340</v>
      </c>
      <c r="F165" s="35" t="s">
        <v>332</v>
      </c>
      <c r="G165" s="44" t="s">
        <v>324</v>
      </c>
    </row>
    <row r="166" spans="1:7" x14ac:dyDescent="0.25">
      <c r="A166" s="50"/>
      <c r="B166" s="33">
        <v>235</v>
      </c>
      <c r="C166" s="44" t="s">
        <v>325</v>
      </c>
      <c r="D166" s="34">
        <v>1.94</v>
      </c>
      <c r="E166" s="34"/>
      <c r="F166" s="35"/>
      <c r="G166" s="35"/>
    </row>
    <row r="167" spans="1:7" x14ac:dyDescent="0.25">
      <c r="A167" s="50"/>
      <c r="B167" s="33">
        <v>236</v>
      </c>
      <c r="C167" s="44" t="s">
        <v>324</v>
      </c>
      <c r="D167" s="34">
        <v>1.85</v>
      </c>
      <c r="E167" s="34" t="s">
        <v>340</v>
      </c>
      <c r="F167" s="35" t="s">
        <v>332</v>
      </c>
      <c r="G167" s="44" t="s">
        <v>324</v>
      </c>
    </row>
    <row r="168" spans="1:7" x14ac:dyDescent="0.25">
      <c r="A168" s="50"/>
      <c r="B168" s="33">
        <v>237</v>
      </c>
      <c r="D168" s="34"/>
      <c r="E168" s="34"/>
      <c r="F168" s="35"/>
      <c r="G168" s="35"/>
    </row>
    <row r="169" spans="1:7" x14ac:dyDescent="0.25">
      <c r="A169" s="50"/>
      <c r="B169" s="33">
        <v>238</v>
      </c>
      <c r="D169" s="34"/>
      <c r="E169" s="34"/>
      <c r="F169" s="35"/>
      <c r="G169" s="35"/>
    </row>
    <row r="170" spans="1:7" x14ac:dyDescent="0.25">
      <c r="A170" s="50"/>
      <c r="B170" s="33">
        <v>239</v>
      </c>
      <c r="D170" s="34"/>
      <c r="E170" s="34"/>
      <c r="F170" s="35"/>
      <c r="G170" s="35"/>
    </row>
    <row r="171" spans="1:7" x14ac:dyDescent="0.25">
      <c r="A171" s="50"/>
      <c r="B171" s="33">
        <v>240</v>
      </c>
      <c r="C171" s="44" t="s">
        <v>326</v>
      </c>
      <c r="D171" s="34">
        <v>1.93</v>
      </c>
      <c r="E171" s="34"/>
      <c r="F171" s="35"/>
      <c r="G171" s="35"/>
    </row>
    <row r="172" spans="1:7" x14ac:dyDescent="0.25">
      <c r="A172" s="50"/>
      <c r="B172" s="33">
        <v>241</v>
      </c>
      <c r="D172" s="34"/>
      <c r="E172" s="34"/>
      <c r="F172" s="35"/>
      <c r="G172" s="35"/>
    </row>
    <row r="173" spans="1:7" x14ac:dyDescent="0.25">
      <c r="A173" s="50"/>
      <c r="B173" s="33">
        <v>242</v>
      </c>
      <c r="D173" s="34"/>
      <c r="E173" s="34"/>
      <c r="F173" s="35"/>
      <c r="G173" s="35"/>
    </row>
    <row r="174" spans="1:7" x14ac:dyDescent="0.25">
      <c r="A174" s="50"/>
      <c r="B174" s="33">
        <v>243</v>
      </c>
      <c r="C174" s="44" t="s">
        <v>326</v>
      </c>
      <c r="D174" s="34">
        <v>1.93</v>
      </c>
      <c r="E174" s="34"/>
      <c r="F174" s="35"/>
      <c r="G174" s="35"/>
    </row>
    <row r="175" spans="1:7" x14ac:dyDescent="0.25">
      <c r="A175" s="50"/>
      <c r="B175" s="33">
        <v>244</v>
      </c>
      <c r="D175" s="34"/>
      <c r="E175" s="34"/>
      <c r="F175" s="35"/>
      <c r="G175" s="35"/>
    </row>
    <row r="176" spans="1:7" x14ac:dyDescent="0.25">
      <c r="A176" s="50"/>
      <c r="B176" s="33">
        <v>245</v>
      </c>
      <c r="D176" s="34"/>
      <c r="E176" s="34"/>
      <c r="F176" s="35"/>
      <c r="G176" s="35"/>
    </row>
    <row r="177" spans="1:7" x14ac:dyDescent="0.25">
      <c r="A177" s="50"/>
      <c r="B177" s="33">
        <v>246</v>
      </c>
      <c r="D177" s="34"/>
      <c r="E177" s="34"/>
      <c r="F177" s="35"/>
      <c r="G177" s="35"/>
    </row>
    <row r="178" spans="1:7" x14ac:dyDescent="0.25">
      <c r="A178" s="50"/>
      <c r="B178" s="33">
        <v>247</v>
      </c>
      <c r="C178" s="44" t="s">
        <v>326</v>
      </c>
      <c r="D178" s="34">
        <v>1.93</v>
      </c>
      <c r="E178" s="34"/>
      <c r="F178" s="35"/>
      <c r="G178" s="35"/>
    </row>
    <row r="179" spans="1:7" x14ac:dyDescent="0.25">
      <c r="A179" s="50"/>
      <c r="B179" s="33">
        <v>248</v>
      </c>
      <c r="D179" s="34"/>
      <c r="E179" s="34"/>
      <c r="F179" s="35"/>
      <c r="G179" s="35"/>
    </row>
    <row r="180" spans="1:7" x14ac:dyDescent="0.25">
      <c r="A180" s="50"/>
      <c r="B180" s="33">
        <v>249</v>
      </c>
      <c r="D180" s="34"/>
      <c r="E180" s="34"/>
      <c r="F180" s="35"/>
      <c r="G180" s="35"/>
    </row>
    <row r="181" spans="1:7" x14ac:dyDescent="0.25">
      <c r="A181" s="50"/>
      <c r="B181" s="33">
        <v>250</v>
      </c>
      <c r="D181" s="34"/>
      <c r="E181" s="34"/>
      <c r="F181" s="35"/>
      <c r="G181" s="35"/>
    </row>
    <row r="182" spans="1:7" x14ac:dyDescent="0.25">
      <c r="A182" s="50"/>
      <c r="B182" s="33">
        <v>251</v>
      </c>
      <c r="C182" s="44" t="s">
        <v>324</v>
      </c>
      <c r="D182" s="34">
        <v>2.12</v>
      </c>
      <c r="E182" s="34" t="s">
        <v>340</v>
      </c>
      <c r="F182" s="35" t="s">
        <v>332</v>
      </c>
      <c r="G182" s="44" t="s">
        <v>324</v>
      </c>
    </row>
    <row r="183" spans="1:7" x14ac:dyDescent="0.25">
      <c r="A183" s="50"/>
      <c r="B183" s="33">
        <v>252</v>
      </c>
      <c r="D183" s="34"/>
      <c r="E183" s="34"/>
      <c r="F183" s="35"/>
      <c r="G183" s="35"/>
    </row>
    <row r="184" spans="1:7" x14ac:dyDescent="0.25">
      <c r="A184" s="50"/>
      <c r="B184" s="33">
        <v>253</v>
      </c>
      <c r="D184" s="34"/>
      <c r="E184" s="34"/>
      <c r="F184" s="35"/>
      <c r="G184" s="35"/>
    </row>
    <row r="185" spans="1:7" x14ac:dyDescent="0.25">
      <c r="A185" s="50"/>
      <c r="B185" s="33">
        <v>254</v>
      </c>
      <c r="C185" s="44" t="s">
        <v>326</v>
      </c>
      <c r="D185" s="34">
        <v>1.88</v>
      </c>
      <c r="E185" s="34"/>
      <c r="F185" s="35"/>
      <c r="G185" s="35"/>
    </row>
    <row r="186" spans="1:7" x14ac:dyDescent="0.25">
      <c r="A186" s="50"/>
      <c r="B186" s="33">
        <v>255</v>
      </c>
      <c r="C186" s="44" t="s">
        <v>324</v>
      </c>
      <c r="D186" s="34">
        <v>1.93</v>
      </c>
      <c r="E186" s="34" t="s">
        <v>340</v>
      </c>
      <c r="F186" s="35" t="s">
        <v>332</v>
      </c>
      <c r="G186" s="44" t="s">
        <v>324</v>
      </c>
    </row>
    <row r="187" spans="1:7" x14ac:dyDescent="0.25">
      <c r="A187" s="50"/>
      <c r="B187" s="33">
        <v>256</v>
      </c>
      <c r="C187" s="44" t="s">
        <v>324</v>
      </c>
      <c r="D187" s="34">
        <v>1.77</v>
      </c>
      <c r="E187" s="34" t="s">
        <v>340</v>
      </c>
      <c r="F187" s="35" t="s">
        <v>332</v>
      </c>
      <c r="G187" s="44" t="s">
        <v>324</v>
      </c>
    </row>
    <row r="188" spans="1:7" x14ac:dyDescent="0.25">
      <c r="A188" s="50"/>
      <c r="B188" s="33">
        <v>257</v>
      </c>
      <c r="C188" s="34" t="s">
        <v>327</v>
      </c>
      <c r="D188" s="34"/>
      <c r="E188" s="34"/>
      <c r="F188" s="35"/>
      <c r="G188" s="35"/>
    </row>
    <row r="189" spans="1:7" x14ac:dyDescent="0.25">
      <c r="A189" s="50"/>
      <c r="B189" s="33">
        <v>258</v>
      </c>
      <c r="D189" s="34"/>
      <c r="E189" s="34"/>
      <c r="F189" s="35"/>
      <c r="G189" s="35"/>
    </row>
    <row r="190" spans="1:7" x14ac:dyDescent="0.25">
      <c r="A190" s="50"/>
      <c r="B190" s="33">
        <v>259</v>
      </c>
      <c r="C190" s="44" t="s">
        <v>324</v>
      </c>
      <c r="D190" s="34">
        <v>2.04</v>
      </c>
      <c r="E190" s="34" t="s">
        <v>340</v>
      </c>
      <c r="F190" s="35" t="s">
        <v>332</v>
      </c>
      <c r="G190" s="44" t="s">
        <v>324</v>
      </c>
    </row>
    <row r="191" spans="1:7" x14ac:dyDescent="0.25">
      <c r="A191" s="51"/>
      <c r="B191" s="42">
        <v>260</v>
      </c>
      <c r="C191" s="45"/>
      <c r="D191" s="41"/>
      <c r="E191" s="41"/>
      <c r="F191" s="52"/>
      <c r="G191" s="52"/>
    </row>
    <row r="1048576" spans="7:7" x14ac:dyDescent="0.25">
      <c r="G1048576" s="44" t="s">
        <v>324</v>
      </c>
    </row>
  </sheetData>
  <mergeCells count="3">
    <mergeCell ref="A2:A58"/>
    <mergeCell ref="A59:A128"/>
    <mergeCell ref="A129:A191"/>
  </mergeCells>
  <conditionalFormatting sqref="D129:E191">
    <cfRule type="cellIs" priority="1" operator="between">
      <formula>1.98</formula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participants_info</vt:lpstr>
      <vt:lpstr>sequencing_table</vt:lpstr>
      <vt:lpstr>genes_sporulation</vt:lpstr>
      <vt:lpstr>etoh_h_comparison</vt:lpstr>
      <vt:lpstr>CFU_C_saudiense</vt:lpstr>
      <vt:lpstr>MALDI_C_saudisense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Urša Miklavčič</dc:creator>
  <cp:lastModifiedBy>Urša Miklavčič</cp:lastModifiedBy>
  <dcterms:created xsi:type="dcterms:W3CDTF">2025-09-19T07:38:52Z</dcterms:created>
  <dcterms:modified xsi:type="dcterms:W3CDTF">2025-11-04T13:30:42Z</dcterms:modified>
</cp:coreProperties>
</file>